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4fbf139c674efb" /></Relationships>
</file>

<file path=xl/workbook.xml><?xml version="1.0" encoding="utf-8"?>
<x:workbook xmlns:x="http://schemas.openxmlformats.org/spreadsheetml/2006/main">
  <x:sheets>
    <x:sheet xmlns:r="http://schemas.openxmlformats.org/officeDocument/2006/relationships" name="Executive Summary" sheetId="1" r:id="Rc42b23013e984c25"/>
    <x:sheet xmlns:r="http://schemas.openxmlformats.org/officeDocument/2006/relationships" name="Topic Ratings" sheetId="2" r:id="R4e3c79290071458a"/>
    <x:sheet xmlns:r="http://schemas.openxmlformats.org/officeDocument/2006/relationships" name="Model Scores" sheetId="3" r:id="R09dad7f821ba43ab"/>
    <x:sheet xmlns:r="http://schemas.openxmlformats.org/officeDocument/2006/relationships" name="Model-Level Questions" sheetId="4" r:id="R39410274dd8f4f40"/>
    <x:sheet xmlns:r="http://schemas.openxmlformats.org/officeDocument/2006/relationships" name="Preferences" sheetId="5" r:id="R9612d7db05b2448f"/>
    <x:sheet xmlns:r="http://schemas.openxmlformats.org/officeDocument/2006/relationships" name="Intrusion Tests" sheetId="6" r:id="R18683a6bad8343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6"/>
      <x:color rgb="FFFFFFFF"/>
      <x:name val="Carlito"/>
    </x:font>
    <x:font>
      <x:b/>
      <x:sz val="11"/>
      <x:name val="Carlito"/>
    </x:font>
    <x:font>
      <x:b/>
      <x:sz val="12"/>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FF2CC"/>
      </x:patternFill>
    </x:fill>
    <x:fill>
      <x:patternFill patternType="solid">
        <x:fgColor rgb="FF5B9BD5"/>
      </x:patternFill>
    </x:fill>
    <x:fill>
      <x:patternFill patternType="solid">
        <x:fgColor rgb="FF70AD47"/>
      </x:patternFill>
    </x:fill>
  </x:fills>
  <x:borders count="2">
    <x:border/>
    <x:border/>
  </x:borders>
  <x:cellStyleXfs count="1">
    <x:xf numFmtId="0" fontId="0" fillId="0" borderId="0"/>
  </x:cellStyleXfs>
  <x:cellXfs count="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1" xfId="0" applyNumberFormat="1" applyFont="1" applyFill="1" applyBorder="1"/>
    <x:xf numFmtId="0" fontId="2" fillId="5"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3" fillId="4" borderId="0" xfId="0" applyNumberFormat="1" applyFont="1" applyFill="1" applyBorder="1" applyAlignment="1">
      <x:alignment vertical="top"/>
    </x:xf>
    <x:xf numFmtId="0" fontId="3" fillId="5" borderId="0" xfId="0" applyNumberFormat="1" applyFont="1" applyFill="1" applyBorder="1" applyAlignment="1">
      <x:alignment vertical="top"/>
    </x:xf>
    <x:xf numFmtId="0" fontId="4" fillId="6"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f25193ffe54d6c" /><Relationship Type="http://schemas.openxmlformats.org/officeDocument/2006/relationships/theme" Target="/xl/theme/theme1.xml" Id="Rd855dd48351c4c9e" /><Relationship Type="http://schemas.openxmlformats.org/officeDocument/2006/relationships/sharedStrings" Target="/xl/sharedStrings.xml" Id="R6636dbc6e52c4c46" /><Relationship Type="http://schemas.openxmlformats.org/officeDocument/2006/relationships/worksheet" Target="/xl/worksheets/sheet1.xml" Id="Rc42b23013e984c25" /><Relationship Type="http://schemas.openxmlformats.org/officeDocument/2006/relationships/worksheet" Target="/xl/worksheets/sheet2.xml" Id="R4e3c79290071458a" /><Relationship Type="http://schemas.openxmlformats.org/officeDocument/2006/relationships/worksheet" Target="/xl/worksheets/sheet3.xml" Id="R09dad7f821ba43ab" /><Relationship Type="http://schemas.openxmlformats.org/officeDocument/2006/relationships/worksheet" Target="/xl/worksheets/sheet4.xml" Id="R39410274dd8f4f40" /><Relationship Type="http://schemas.openxmlformats.org/officeDocument/2006/relationships/worksheet" Target="/xl/worksheets/sheet5.xml" Id="R9612d7db05b2448f" /><Relationship Type="http://schemas.openxmlformats.org/officeDocument/2006/relationships/worksheet" Target="/xl/worksheets/sheet6.xml" Id="R18683a6bad8343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d3d8cdb7b3449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Human Rating Summary by Blinded Model</a:t>
            </a:r>
          </a:p>
        </c:rich>
      </c:tx>
    </c:title>
    <c:plotArea>
      <c:barChart>
        <c:barDir val="col"/>
        <c:varyColors val="0"/>
        <c:ser>
          <c:idx val="0"/>
          <c:order val="0"/>
          <c:tx>
            <c:v>k</c:v>
          </c:tx>
          <c:cat>
            <c:strRef>
              <c:f>'Executive Summary'!$A$26:$A$29</c:f>
              <c:strCache>
                <c:ptCount val="0"/>
              </c:strCache>
            </c:strRef>
          </c:cat>
          <c:val>
            <c:numRef>
              <c:f>'Executive Summary'!$B$26:$B$29</c:f>
              <c:numCache>
                <c:formatCode>General</c:formatCode>
                <c:ptCount val="0"/>
              </c:numCache>
            </c:numRef>
          </c:val>
        </c:ser>
        <c:ser>
          <c:idx val="1"/>
          <c:order val="1"/>
          <c:tx>
            <c:v>R1 Mean</c:v>
          </c:tx>
          <c:cat>
            <c:strRef>
              <c:f>'Executive Summary'!$A$26:$A$29</c:f>
              <c:strCache>
                <c:ptCount val="0"/>
              </c:strCache>
            </c:strRef>
          </c:cat>
          <c:val>
            <c:numRef>
              <c:f>'Executive Summary'!$C$26:$C$29</c:f>
              <c:numCache>
                <c:formatCode>0.00</c:formatCode>
                <c:ptCount val="0"/>
              </c:numCache>
            </c:numRef>
          </c:val>
        </c:ser>
        <c:ser>
          <c:idx val="2"/>
          <c:order val="2"/>
          <c:tx>
            <c:v>R2 Mean</c:v>
          </c:tx>
          <c:cat>
            <c:strRef>
              <c:f>'Executive Summary'!$A$26:$A$29</c:f>
              <c:strCache>
                <c:ptCount val="0"/>
              </c:strCache>
            </c:strRef>
          </c:cat>
          <c:val>
            <c:numRef>
              <c:f>'Executive Summary'!$D$26:$D$29</c:f>
              <c:numCache>
                <c:formatCode>0.00</c:formatCode>
                <c:ptCount val="0"/>
              </c:numCache>
            </c:numRef>
          </c:val>
        </c:ser>
        <c:ser>
          <c:idx val="3"/>
          <c:order val="3"/>
          <c:tx>
            <c:v>Combined Mean</c:v>
          </c:tx>
          <c:cat>
            <c:strRef>
              <c:f>'Executive Summary'!$A$26:$A$29</c:f>
              <c:strCache>
                <c:ptCount val="0"/>
              </c:strCache>
            </c:strRef>
          </c:cat>
          <c:val>
            <c:numRef>
              <c:f>'Executive Summary'!$E$26:$E$29</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d3d8cdb7b3449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1318f8bc1224908"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46" hidden="0" customWidth="1"/>
    <x:col min="5" max="5" width="16" hidden="0" customWidth="1"/>
    <x:col min="6" max="6" width="16" hidden="0" customWidth="1"/>
    <x:col min="7" max="7" width="16" hidden="0" customWidth="1"/>
    <x:col min="8" max="8" width="52" hidden="0" customWidth="1"/>
  </x:cols>
  <x:sheetData>
    <x:row r="1" ht="28" customHeight="1">
      <x:c r="A1" s="62" t="str">
        <x:v>Metadata LDA Human Validation — Consolidated Evaluation</x:v>
      </x:c>
      <x:c r="B1" s="62"/>
      <x:c r="C1" s="62"/>
      <x:c r="D1" s="62"/>
      <x:c r="E1" s="62"/>
      <x:c r="F1" s="62"/>
      <x:c r="G1" s="62"/>
      <x:c r="H1" s="62"/>
    </x:row>
    <x:row r="2">
      <x:c r="A2" s="63"/>
      <x:c r="B2" s="63"/>
      <x:c r="C2" s="63"/>
      <x:c r="D2" s="63"/>
      <x:c r="E2" s="63"/>
      <x:c r="F2" s="63"/>
      <x:c r="G2" s="63"/>
      <x:c r="H2" s="63"/>
    </x:row>
    <x:row r="3">
      <x:c r="A3" s="64" t="str">
        <x:v>Item</x:v>
      </x:c>
      <x:c r="B3" s="64" t="str">
        <x:v>Rater 1</x:v>
      </x:c>
      <x:c r="C3" s="64" t="str">
        <x:v>Rater 2</x:v>
      </x:c>
      <x:c r="D3" s="64" t="str">
        <x:v>Interpretation</x:v>
      </x:c>
      <x:c r="E3" s="63"/>
      <x:c r="F3" s="63"/>
      <x:c r="G3" s="63"/>
      <x:c r="H3" s="63"/>
    </x:row>
    <x:row r="4">
      <x:c r="A4" s="24" t="str">
        <x:v>Preferred blinded model</x:v>
      </x:c>
      <x:c r="B4" s="24" t="str">
        <x:v>Model A</x:v>
      </x:c>
      <x:c r="C4" s="24" t="str">
        <x:v>B</x:v>
      </x:c>
      <x:c r="D4" s="24" t="str">
        <x:v>No agreement on preferred model</x:v>
      </x:c>
      <x:c r="E4" s="63"/>
      <x:c r="F4" s="63"/>
      <x:c r="G4" s="63"/>
      <x:c r="H4" s="63"/>
    </x:row>
    <x:row r="5">
      <x:c r="A5" s="24" t="str">
        <x:v>Preferred topic count</x:v>
      </x:c>
      <x:c r="B5" s="24" t="n">
        <x:v>5</x:v>
      </x:c>
      <x:c r="C5" s="24" t="n">
        <x:v>3</x:v>
      </x:c>
      <x:c r="D5" s="24" t="str">
        <x:v>Raters favor different levels of granularity</x:v>
      </x:c>
      <x:c r="E5" s="63"/>
      <x:c r="F5" s="63"/>
      <x:c r="G5" s="63"/>
      <x:c r="H5" s="63"/>
    </x:row>
    <x:row r="6">
      <x:c r="A6" s="24" t="str">
        <x:v>Current quantitative choice</x:v>
      </x:c>
      <x:c r="B6" s="24" t="n">
        <x:v>4</x:v>
      </x:c>
      <x:c r="C6" s="24" t="n">
        <x:v>4</x:v>
      </x:c>
      <x:c r="D6" s="24" t="str">
        <x:v>Model D corresponds to the current k=4 solution</x:v>
      </x:c>
      <x:c r="E6" s="63"/>
      <x:c r="F6" s="63"/>
      <x:c r="G6" s="63"/>
      <x:c r="H6" s="63"/>
    </x:row>
    <x:row r="7">
      <x:c r="A7" s="24" t="str">
        <x:v>Intrusion tasks completed</x:v>
      </x:c>
      <x:c r="B7" s="24" t="n">
        <x:v>2</x:v>
      </x:c>
      <x:c r="C7" s="24" t="n">
        <x:v>14</x:v>
      </x:c>
      <x:c r="D7" s="24" t="str">
        <x:v>Rater 1 completed only 2 of 14; intrusion accuracy cannot be fairly compared</x:v>
      </x:c>
      <x:c r="E7" s="63"/>
      <x:c r="F7" s="63"/>
      <x:c r="G7" s="63"/>
      <x:c r="H7" s="63"/>
    </x:row>
    <x:row r="8">
      <x:c r="A8" s="24" t="str">
        <x:v>Human ratification of k=4?</x:v>
      </x:c>
      <x:c r="B8" s="24" t="str">
        <x:v>No</x:v>
      </x:c>
      <x:c r="C8" s="24" t="str">
        <x:v>No</x:v>
      </x:c>
      <x:c r="D8" s="24" t="str">
        <x:v>Human validation does not uniquely ratify k=4</x:v>
      </x:c>
      <x:c r="E8" s="63"/>
      <x:c r="F8" s="63"/>
      <x:c r="G8" s="63"/>
      <x:c r="H8" s="63"/>
    </x:row>
    <x:row r="9">
      <x:c r="A9" s="63"/>
      <x:c r="B9" s="63"/>
      <x:c r="C9" s="63"/>
      <x:c r="D9" s="63"/>
      <x:c r="E9" s="63"/>
      <x:c r="F9" s="63"/>
      <x:c r="G9" s="63"/>
      <x:c r="H9" s="63"/>
    </x:row>
    <x:row r="10">
      <x:c r="A10" s="65" t="str">
        <x:v>Overall Assessment</x:v>
      </x:c>
      <x:c r="B10" s="65"/>
      <x:c r="C10" s="65"/>
      <x:c r="D10" s="65"/>
      <x:c r="E10" s="65"/>
      <x:c r="F10" s="65"/>
      <x:c r="G10" s="65"/>
      <x:c r="H10" s="65"/>
    </x:row>
    <x:row r="11">
      <x:c r="A11" s="24" t="str">
        <x:v>The metadata human validation supports the general interpretability of the candidate topic solutions, but it does not independently select the same topic count. Rater 1 preferred Model A (5 topics), whereas Rater 2 preferred Model B (3 topics). Model D (4 topics), which is the quantitatively selected metadata solution, was rated as interpretable by both raters but was not either rater's overall preference. The human evidence should therefore be described as mixed or inconclusive for topic-number selection. It can still complement the quantitative selection of k=4: the statistical diagnostics indicate that k=2 and k=3 are dominated by a mega-topic and that k=5 adds granularity without a clear quantitative gain, while the human ratings show that k=4 remains semantically interpretable. The final manuscript should not claim that human validation 'confirmed' k=4.</x:v>
      </x:c>
      <x:c r="B11" s="24"/>
      <x:c r="C11" s="24"/>
      <x:c r="D11" s="24"/>
      <x:c r="E11" s="24"/>
      <x:c r="F11" s="24"/>
      <x:c r="G11" s="24"/>
      <x:c r="H11" s="24"/>
    </x:row>
    <x:row r="12">
      <x:c r="A12" s="24"/>
      <x:c r="B12" s="24"/>
      <x:c r="C12" s="24"/>
      <x:c r="D12" s="24"/>
      <x:c r="E12" s="24"/>
      <x:c r="F12" s="24"/>
      <x:c r="G12" s="24"/>
      <x:c r="H12" s="24"/>
    </x:row>
    <x:row r="13">
      <x:c r="A13" s="24"/>
      <x:c r="B13" s="24"/>
      <x:c r="C13" s="24"/>
      <x:c r="D13" s="24"/>
      <x:c r="E13" s="24"/>
      <x:c r="F13" s="24"/>
      <x:c r="G13" s="24"/>
      <x:c r="H13" s="24"/>
    </x:row>
    <x:row r="14">
      <x:c r="A14" s="24"/>
      <x:c r="B14" s="24"/>
      <x:c r="C14" s="24"/>
      <x:c r="D14" s="24"/>
      <x:c r="E14" s="24"/>
      <x:c r="F14" s="24"/>
      <x:c r="G14" s="24"/>
      <x:c r="H14" s="24"/>
    </x:row>
    <x:row r="15">
      <x:c r="A15" s="24"/>
      <x:c r="B15" s="24"/>
      <x:c r="C15" s="24"/>
      <x:c r="D15" s="24"/>
      <x:c r="E15" s="24"/>
      <x:c r="F15" s="24"/>
      <x:c r="G15" s="24"/>
      <x:c r="H15" s="24"/>
    </x:row>
    <x:row r="16">
      <x:c r="A16" s="24"/>
      <x:c r="B16" s="24"/>
      <x:c r="C16" s="24"/>
      <x:c r="D16" s="24"/>
      <x:c r="E16" s="24"/>
      <x:c r="F16" s="24"/>
      <x:c r="G16" s="24"/>
      <x:c r="H16" s="24"/>
    </x:row>
    <x:row r="17">
      <x:c r="A17" s="63"/>
      <x:c r="B17" s="63"/>
      <x:c r="C17" s="63"/>
      <x:c r="D17" s="63"/>
      <x:c r="E17" s="63"/>
      <x:c r="F17" s="63"/>
      <x:c r="G17" s="63"/>
      <x:c r="H17" s="63"/>
    </x:row>
    <x:row r="18">
      <x:c r="A18" s="66" t="str">
        <x:v>Recommended Manuscript Interpretation</x:v>
      </x:c>
      <x:c r="B18" s="66"/>
      <x:c r="C18" s="66"/>
      <x:c r="D18" s="66"/>
      <x:c r="E18" s="66"/>
      <x:c r="F18" s="66"/>
      <x:c r="G18" s="66"/>
      <x:c r="H18" s="66"/>
    </x:row>
    <x:row r="19">
      <x:c r="A19" s="24" t="str">
        <x:v>Independent human evaluation found all candidate solutions broadly interpretable but did not produce a single preferred topic count: one evaluator favored a five-topic solution and the other a three-topic solution. The four-topic solution nevertheless received generally positive topic-level ratings and remained the quantitatively preferred compromise because lower-k solutions were dominated by a single broad topic, whereas the five-topic solution added granularity without a clear improvement in the quantitative diagnostics. Accordingly, human evaluation was used as complementary evidence of semantic interpretability rather than as a decisive criterion for selecting k.</x:v>
      </x:c>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63"/>
      <x:c r="B24" s="63"/>
      <x:c r="C24" s="63"/>
      <x:c r="D24" s="63"/>
      <x:c r="E24" s="63"/>
      <x:c r="F24" s="63"/>
      <x:c r="G24" s="63"/>
      <x:c r="H24" s="63"/>
    </x:row>
    <x:row r="25">
      <x:c r="A25" s="67" t="str">
        <x:v>Model</x:v>
      </x:c>
      <x:c r="B25" s="67" t="str">
        <x:v>k</x:v>
      </x:c>
      <x:c r="C25" s="67" t="str">
        <x:v>R1 Mean</x:v>
      </x:c>
      <x:c r="D25" s="67" t="str">
        <x:v>R2 Mean</x:v>
      </x:c>
      <x:c r="E25" s="67" t="str">
        <x:v>Combined Mean</x:v>
      </x:c>
      <x:c r="F25" s="67" t="str">
        <x:v>R1 Preference</x:v>
      </x:c>
      <x:c r="G25" s="67" t="str">
        <x:v>R2 Preference</x:v>
      </x:c>
      <x:c r="H25" s="67" t="str">
        <x:v>Assessment</x:v>
      </x:c>
    </x:row>
    <x:row r="26">
      <x:c r="A26" s="24" t="str">
        <x:v>C</x:v>
      </x:c>
      <x:c r="B26" s="24" t="n">
        <x:v>2</x:v>
      </x:c>
      <x:c r="C26" s="68" t="n">
        <x:f>'Model Scores'!F2</x:f>
        <x:v>3.8333333333333335</x:v>
      </x:c>
      <x:c r="D26" s="68" t="n">
        <x:f>'Model Scores'!J2</x:f>
        <x:v>3.3333333333333335</x:v>
      </x:c>
      <x:c r="E26" s="68" t="n">
        <x:f>'Model Scores'!N2</x:f>
        <x:v>3.5833333333333335</x:v>
      </x:c>
      <x:c r="F26" s="24" t="str">
        <x:v>No</x:v>
      </x:c>
      <x:c r="G26" s="24" t="str">
        <x:v>No</x:v>
      </x:c>
      <x:c r="H26" s="24" t="str">
        <x:v>Too coarse; both raters note merged concepts</x:v>
      </x:c>
    </x:row>
    <x:row r="27">
      <x:c r="A27" s="24" t="str">
        <x:v>B</x:v>
      </x:c>
      <x:c r="B27" s="24" t="n">
        <x:v>3</x:v>
      </x:c>
      <x:c r="C27" s="68" t="n">
        <x:f>'Model Scores'!F3</x:f>
        <x:v>4.222222222222222</x:v>
      </x:c>
      <x:c r="D27" s="68" t="n">
        <x:f>'Model Scores'!J3</x:f>
        <x:v>4.111111111111111</x:v>
      </x:c>
      <x:c r="E27" s="68" t="n">
        <x:f>'Model Scores'!N3</x:f>
        <x:v>4.166666666666667</x:v>
      </x:c>
      <x:c r="F27" s="24" t="str">
        <x:v>No</x:v>
      </x:c>
      <x:c r="G27" s="24" t="str">
        <x:v>Yes</x:v>
      </x:c>
      <x:c r="H27" s="24" t="str">
        <x:v>Highest combined rating; preferred by Rater 2; quantitatively too coarse due mega-topic</x:v>
      </x:c>
    </x:row>
    <x:row r="28">
      <x:c r="A28" s="24" t="str">
        <x:v>D</x:v>
      </x:c>
      <x:c r="B28" s="24" t="n">
        <x:v>4</x:v>
      </x:c>
      <x:c r="C28" s="68" t="n">
        <x:f>'Model Scores'!F4</x:f>
        <x:v>4.25</x:v>
      </x:c>
      <x:c r="D28" s="68" t="n">
        <x:f>'Model Scores'!J4</x:f>
        <x:v>3.5</x:v>
      </x:c>
      <x:c r="E28" s="68" t="n">
        <x:f>'Model Scores'!N4</x:f>
        <x:v>3.875</x:v>
      </x:c>
      <x:c r="F28" s="24" t="str">
        <x:v>No</x:v>
      </x:c>
      <x:c r="G28" s="24" t="str">
        <x:v>No</x:v>
      </x:c>
      <x:c r="H28" s="24" t="str">
        <x:v>Current k=4 solution; interpretable but not preferred overall by either rater</x:v>
      </x:c>
    </x:row>
    <x:row r="29">
      <x:c r="A29" s="24" t="str">
        <x:v>A</x:v>
      </x:c>
      <x:c r="B29" s="24" t="n">
        <x:v>5</x:v>
      </x:c>
      <x:c r="C29" s="68" t="n">
        <x:f>'Model Scores'!F5</x:f>
        <x:v>4.133333333333334</x:v>
      </x:c>
      <x:c r="D29" s="68" t="n">
        <x:f>'Model Scores'!J5</x:f>
        <x:v>3.8</x:v>
      </x:c>
      <x:c r="E29" s="68" t="n">
        <x:f>'Model Scores'!N5</x:f>
        <x:v>3.9666666666666663</x:v>
      </x:c>
      <x:c r="F29" s="24" t="str">
        <x:v>Yes</x:v>
      </x:c>
      <x:c r="G29" s="24" t="str">
        <x:v>No</x:v>
      </x:c>
      <x:c r="H29" s="24" t="str">
        <x:v>Preferred by Rater 1; Rater 2 identifies redundancy/over-splitting</x:v>
      </x:c>
    </x:row>
  </x:sheetData>
  <x:mergeCells>
    <x:mergeCell ref="A1:H1"/>
    <x:mergeCell ref="A10:H10"/>
    <x:mergeCell ref="A11:H16"/>
    <x:mergeCell ref="A18:H18"/>
    <x:mergeCell ref="A19:H23"/>
  </x:mergeCells>
  <x:pageMargins left="0.7" right="0.7" top="0.75" bottom="0.75" header="0.3" footer="0.3"/>
  <x:drawing xmlns:r="http://schemas.openxmlformats.org/officeDocument/2006/relationships" r:id="R21318f8bc1224908"/>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38" hidden="0" customWidth="1"/>
    <x:col min="6" max="6" width="14" hidden="0" customWidth="1"/>
    <x:col min="7" max="7" width="14" hidden="0" customWidth="1"/>
    <x:col min="8" max="8" width="14" hidden="0" customWidth="1"/>
    <x:col min="9" max="9" width="18" hidden="0" customWidth="1"/>
    <x:col min="10" max="10" width="55" hidden="0" customWidth="1"/>
  </x:cols>
  <x:sheetData>
    <x:row r="1">
      <x:c r="A1" s="40" t="str">
        <x:v>Model</x:v>
      </x:c>
      <x:c r="B1" s="40" t="str">
        <x:v>k</x:v>
      </x:c>
      <x:c r="C1" s="40" t="str">
        <x:v>Topic</x:v>
      </x:c>
      <x:c r="D1" s="40" t="str">
        <x:v>Rater</x:v>
      </x:c>
      <x:c r="E1" s="40" t="str">
        <x:v>Proposed Label</x:v>
      </x:c>
      <x:c r="F1" s="40" t="str">
        <x:v>Coherence</x:v>
      </x:c>
      <x:c r="G1" s="40" t="str">
        <x:v>Interpretability</x:v>
      </x:c>
      <x:c r="H1" s="40" t="str">
        <x:v>Distinctiveness</x:v>
      </x:c>
      <x:c r="I1" s="40" t="str">
        <x:v>Validity</x:v>
      </x:c>
      <x:c r="J1" s="40" t="str">
        <x:v>Notes</x:v>
      </x:c>
    </x:row>
    <x:row r="2">
      <x:c r="A2" s="17" t="str">
        <x:v>C</x:v>
      </x:c>
      <x:c r="B2" s="17" t="n">
        <x:v>2</x:v>
      </x:c>
      <x:c r="C2" s="17" t="n">
        <x:v>0</x:v>
      </x:c>
      <x:c r="D2" s="17" t="str">
        <x:v>Rater 1</x:v>
      </x:c>
      <x:c r="E2" s="17" t="str">
        <x:v>Code Generation Limitations &amp; Safety-Critical Requirements</x:v>
      </x:c>
      <x:c r="F2" s="17" t="n">
        <x:v>3</x:v>
      </x:c>
      <x:c r="G2" s="17" t="n">
        <x:v>3</x:v>
      </x:c>
      <x:c r="H2" s="17" t="n">
        <x:v>4</x:v>
      </x:c>
      <x:c r="I2" s="17" t="str">
        <x:v>1.0</x:v>
      </x:c>
      <x:c r="J2" s="17" t="str"/>
    </x:row>
    <x:row r="3">
      <x:c r="A3" s="17" t="str">
        <x:v>C</x:v>
      </x:c>
      <x:c r="B3" s="17" t="n">
        <x:v>2</x:v>
      </x:c>
      <x:c r="C3" s="17" t="n">
        <x:v>1</x:v>
      </x:c>
      <x:c r="D3" s="17" t="str">
        <x:v>Rater 1</x:v>
      </x:c>
      <x:c r="E3" s="17" t="str">
        <x:v>LLMs in Programming Education</x:v>
      </x:c>
      <x:c r="F3" s="17" t="n">
        <x:v>4</x:v>
      </x:c>
      <x:c r="G3" s="17" t="n">
        <x:v>5</x:v>
      </x:c>
      <x:c r="H3" s="17" t="n">
        <x:v>4</x:v>
      </x:c>
      <x:c r="I3" s="17" t="str">
        <x:v>1.0</x:v>
      </x:c>
      <x:c r="J3" s="17" t="str"/>
    </x:row>
    <x:row r="4">
      <x:c r="A4" s="17" t="str">
        <x:v>B</x:v>
      </x:c>
      <x:c r="B4" s="17" t="n">
        <x:v>3</x:v>
      </x:c>
      <x:c r="C4" s="17" t="n">
        <x:v>0</x:v>
      </x:c>
      <x:c r="D4" s="17" t="str">
        <x:v>Rater 1</x:v>
      </x:c>
      <x:c r="E4" s="17" t="str">
        <x:v>LLMs in Programming Education</x:v>
      </x:c>
      <x:c r="F4" s="17" t="n">
        <x:v>5</x:v>
      </x:c>
      <x:c r="G4" s="17" t="n">
        <x:v>5</x:v>
      </x:c>
      <x:c r="H4" s="17" t="n">
        <x:v>4</x:v>
      </x:c>
      <x:c r="I4" s="17" t="str">
        <x:v>1.0</x:v>
      </x:c>
      <x:c r="J4" s="17" t="str"/>
    </x:row>
    <x:row r="5">
      <x:c r="A5" s="17" t="str">
        <x:v>B</x:v>
      </x:c>
      <x:c r="B5" s="17" t="n">
        <x:v>3</x:v>
      </x:c>
      <x:c r="C5" s="17" t="n">
        <x:v>1</x:v>
      </x:c>
      <x:c r="D5" s="17" t="str">
        <x:v>Rater 1</x:v>
      </x:c>
      <x:c r="E5" s="17" t="str">
        <x:v>Evaluating Hallucinations &amp; Code Vulnerabilities</x:v>
      </x:c>
      <x:c r="F5" s="17" t="n">
        <x:v>4</x:v>
      </x:c>
      <x:c r="G5" s="17" t="n">
        <x:v>4</x:v>
      </x:c>
      <x:c r="H5" s="17" t="n">
        <x:v>4</x:v>
      </x:c>
      <x:c r="I5" s="17" t="str">
        <x:v>1.0</x:v>
      </x:c>
      <x:c r="J5" s="17" t="str"/>
    </x:row>
    <x:row r="6">
      <x:c r="A6" s="17" t="str">
        <x:v>B</x:v>
      </x:c>
      <x:c r="B6" s="17" t="n">
        <x:v>3</x:v>
      </x:c>
      <x:c r="C6" s="17" t="n">
        <x:v>2</x:v>
      </x:c>
      <x:c r="D6" s="17" t="str">
        <x:v>Rater 1</x:v>
      </x:c>
      <x:c r="E6" s="17" t="str">
        <x:v>Code Generation for Specific Domain Requirements</x:v>
      </x:c>
      <x:c r="F6" s="17" t="n">
        <x:v>4</x:v>
      </x:c>
      <x:c r="G6" s="17" t="n">
        <x:v>4</x:v>
      </x:c>
      <x:c r="H6" s="17" t="n">
        <x:v>4</x:v>
      </x:c>
      <x:c r="I6" s="17" t="str">
        <x:v>1.0</x:v>
      </x:c>
      <x:c r="J6" s="17" t="str"/>
    </x:row>
    <x:row r="7">
      <x:c r="A7" s="17" t="str">
        <x:v>D</x:v>
      </x:c>
      <x:c r="B7" s="17" t="n">
        <x:v>4</x:v>
      </x:c>
      <x:c r="C7" s="17" t="n">
        <x:v>0</x:v>
      </x:c>
      <x:c r="D7" s="17" t="str">
        <x:v>Rater 1</x:v>
      </x:c>
      <x:c r="E7" s="17" t="str">
        <x:v>Security Vulnerabilities &amp; Copilot Usage</x:v>
      </x:c>
      <x:c r="F7" s="17" t="n">
        <x:v>4</x:v>
      </x:c>
      <x:c r="G7" s="17" t="n">
        <x:v>4</x:v>
      </x:c>
      <x:c r="H7" s="17" t="n">
        <x:v>4</x:v>
      </x:c>
      <x:c r="I7" s="17" t="str">
        <x:v>1.0</x:v>
      </x:c>
      <x:c r="J7" s="17" t="str"/>
    </x:row>
    <x:row r="8">
      <x:c r="A8" s="17" t="str">
        <x:v>D</x:v>
      </x:c>
      <x:c r="B8" s="17" t="n">
        <x:v>4</x:v>
      </x:c>
      <x:c r="C8" s="17" t="n">
        <x:v>1</x:v>
      </x:c>
      <x:c r="D8" s="17" t="str">
        <x:v>Rater 1</x:v>
      </x:c>
      <x:c r="E8" s="17" t="str">
        <x:v>Prompting for Domain-Specific Requirements</x:v>
      </x:c>
      <x:c r="F8" s="17" t="n">
        <x:v>4</x:v>
      </x:c>
      <x:c r="G8" s="17" t="n">
        <x:v>4</x:v>
      </x:c>
      <x:c r="H8" s="17" t="n">
        <x:v>4</x:v>
      </x:c>
      <x:c r="I8" s="17" t="str">
        <x:v>1.0</x:v>
      </x:c>
      <x:c r="J8" s="17" t="str"/>
    </x:row>
    <x:row r="9">
      <x:c r="A9" s="17" t="str">
        <x:v>D</x:v>
      </x:c>
      <x:c r="B9" s="17" t="n">
        <x:v>4</x:v>
      </x:c>
      <x:c r="C9" s="17" t="n">
        <x:v>2</x:v>
      </x:c>
      <x:c r="D9" s="17" t="str">
        <x:v>Rater 1</x:v>
      </x:c>
      <x:c r="E9" s="17" t="str">
        <x:v>AI in Computer Science Education</x:v>
      </x:c>
      <x:c r="F9" s="17" t="n">
        <x:v>5</x:v>
      </x:c>
      <x:c r="G9" s="17" t="n">
        <x:v>5</x:v>
      </x:c>
      <x:c r="H9" s="17" t="n">
        <x:v>5</x:v>
      </x:c>
      <x:c r="I9" s="17" t="str">
        <x:v>1.0</x:v>
      </x:c>
      <x:c r="J9" s="17" t="str"/>
    </x:row>
    <x:row r="10">
      <x:c r="A10" s="17" t="str">
        <x:v>D</x:v>
      </x:c>
      <x:c r="B10" s="17" t="n">
        <x:v>4</x:v>
      </x:c>
      <x:c r="C10" s="17" t="n">
        <x:v>3</x:v>
      </x:c>
      <x:c r="D10" s="17" t="str">
        <x:v>Rater 1</x:v>
      </x:c>
      <x:c r="E10" s="17" t="str">
        <x:v>Mitigating API Hallucinations</x:v>
      </x:c>
      <x:c r="F10" s="17" t="n">
        <x:v>4</x:v>
      </x:c>
      <x:c r="G10" s="17" t="n">
        <x:v>4</x:v>
      </x:c>
      <x:c r="H10" s="17" t="n">
        <x:v>4</x:v>
      </x:c>
      <x:c r="I10" s="17" t="str">
        <x:v>1.0</x:v>
      </x:c>
      <x:c r="J10" s="17" t="str"/>
    </x:row>
    <x:row r="11">
      <x:c r="A11" s="17" t="str">
        <x:v>A</x:v>
      </x:c>
      <x:c r="B11" s="17" t="n">
        <x:v>5</x:v>
      </x:c>
      <x:c r="C11" s="17" t="n">
        <x:v>0</x:v>
      </x:c>
      <x:c r="D11" s="17" t="str">
        <x:v>Rater 1</x:v>
      </x:c>
      <x:c r="E11" s="17" t="str">
        <x:v>Education/Student Assignments</x:v>
      </x:c>
      <x:c r="F11" s="17" t="n">
        <x:v>5</x:v>
      </x:c>
      <x:c r="G11" s="17" t="n">
        <x:v>5</x:v>
      </x:c>
      <x:c r="H11" s="17" t="n">
        <x:v>5</x:v>
      </x:c>
      <x:c r="I11" s="17" t="str">
        <x:v>1.0</x:v>
      </x:c>
      <x:c r="J11" s="17" t="str"/>
    </x:row>
    <x:row r="12">
      <x:c r="A12" s="17" t="str">
        <x:v>A</x:v>
      </x:c>
      <x:c r="B12" s="17" t="n">
        <x:v>5</x:v>
      </x:c>
      <x:c r="C12" s="17" t="n">
        <x:v>1</x:v>
      </x:c>
      <x:c r="D12" s="17" t="str">
        <x:v>Rater 1</x:v>
      </x:c>
      <x:c r="E12" s="17" t="str">
        <x:v>Safety-Critical Domain Requirements</x:v>
      </x:c>
      <x:c r="F12" s="17" t="n">
        <x:v>4</x:v>
      </x:c>
      <x:c r="G12" s="17" t="n">
        <x:v>4</x:v>
      </x:c>
      <x:c r="H12" s="17" t="n">
        <x:v>4</x:v>
      </x:c>
      <x:c r="I12" s="17" t="str">
        <x:v>1.0</x:v>
      </x:c>
      <x:c r="J12" s="17" t="str"/>
    </x:row>
    <x:row r="13">
      <x:c r="A13" s="17" t="str">
        <x:v>A</x:v>
      </x:c>
      <x:c r="B13" s="17" t="n">
        <x:v>5</x:v>
      </x:c>
      <x:c r="C13" s="17" t="n">
        <x:v>2</x:v>
      </x:c>
      <x:c r="D13" s="17" t="str">
        <x:v>Rater 1</x:v>
      </x:c>
      <x:c r="E13" s="17" t="str">
        <x:v>Benchmarking API Hallucinations</x:v>
      </x:c>
      <x:c r="F13" s="17" t="n">
        <x:v>4</x:v>
      </x:c>
      <x:c r="G13" s="17" t="n">
        <x:v>4</x:v>
      </x:c>
      <x:c r="H13" s="17" t="n">
        <x:v>4</x:v>
      </x:c>
      <x:c r="I13" s="17" t="str">
        <x:v>1.0</x:v>
      </x:c>
      <x:c r="J13" s="17" t="str"/>
    </x:row>
    <x:row r="14">
      <x:c r="A14" s="17" t="str">
        <x:v>A</x:v>
      </x:c>
      <x:c r="B14" s="17" t="n">
        <x:v>5</x:v>
      </x:c>
      <x:c r="C14" s="17" t="n">
        <x:v>3</x:v>
      </x:c>
      <x:c r="D14" s="17" t="str">
        <x:v>Rater 1</x:v>
      </x:c>
      <x:c r="E14" s="17" t="str">
        <x:v>Usability &amp; Developer Trust</x:v>
      </x:c>
      <x:c r="F14" s="17" t="n">
        <x:v>4</x:v>
      </x:c>
      <x:c r="G14" s="17" t="n">
        <x:v>4</x:v>
      </x:c>
      <x:c r="H14" s="17" t="n">
        <x:v>4</x:v>
      </x:c>
      <x:c r="I14" s="17" t="str">
        <x:v>1.0</x:v>
      </x:c>
      <x:c r="J14" s="17" t="str"/>
    </x:row>
    <x:row r="15">
      <x:c r="A15" s="17" t="str">
        <x:v>A</x:v>
      </x:c>
      <x:c r="B15" s="17" t="n">
        <x:v>5</x:v>
      </x:c>
      <x:c r="C15" s="17" t="n">
        <x:v>4</x:v>
      </x:c>
      <x:c r="D15" s="17" t="str">
        <x:v>Rater 1</x:v>
      </x:c>
      <x:c r="E15" s="17" t="str">
        <x:v>Developer Workflows &amp; Issue Tracking</x:v>
      </x:c>
      <x:c r="F15" s="17" t="n">
        <x:v>4</x:v>
      </x:c>
      <x:c r="G15" s="17" t="n">
        <x:v>3</x:v>
      </x:c>
      <x:c r="H15" s="17" t="n">
        <x:v>4</x:v>
      </x:c>
      <x:c r="I15" s="17" t="str">
        <x:v>1.0</x:v>
      </x:c>
      <x:c r="J15" s="17" t="str"/>
    </x:row>
    <x:row r="16">
      <x:c r="A16" s="17" t="str">
        <x:v>C</x:v>
      </x:c>
      <x:c r="B16" s="17" t="n">
        <x:v>2</x:v>
      </x:c>
      <x:c r="C16" s="17" t="n">
        <x:v>0</x:v>
      </x:c>
      <x:c r="D16" s="17" t="str">
        <x:v>Rater 2</x:v>
      </x:c>
      <x:c r="E16" s="17" t="str">
        <x:v>Code Generation Methods &amp; Hallucination Benchmarking</x:v>
      </x:c>
      <x:c r="F16" s="17" t="n">
        <x:v>3</x:v>
      </x:c>
      <x:c r="G16" s="17" t="n">
        <x:v>3</x:v>
      </x:c>
      <x:c r="H16" s="17" t="n">
        <x:v>3</x:v>
      </x:c>
      <x:c r="I16" s="17" t="str">
        <x:v>Valid (coarse)</x:v>
      </x:c>
      <x:c r="J16" s="17" t="str">
        <x:v>At only 2 topics, this model appears to merge several distinguishable sub-themes (safety-critical code generation, general code-gen technique papers, and hallucination benchmarking) into one topic.</x:v>
      </x:c>
    </x:row>
    <x:row r="17">
      <x:c r="A17" s="17" t="str">
        <x:v>C</x:v>
      </x:c>
      <x:c r="B17" s="17" t="n">
        <x:v>2</x:v>
      </x:c>
      <x:c r="C17" s="17" t="n">
        <x:v>1</x:v>
      </x:c>
      <x:c r="D17" s="17" t="str">
        <x:v>Rater 2</x:v>
      </x:c>
      <x:c r="E17" s="17" t="str">
        <x:v>ChatGPT/Copilot Use in Programming Education &amp; Developer Practice</x:v>
      </x:c>
      <x:c r="F17" s="17" t="n">
        <x:v>4</x:v>
      </x:c>
      <x:c r="G17" s="17" t="n">
        <x:v>4</x:v>
      </x:c>
      <x:c r="H17" s="17" t="n">
        <x:v>3</x:v>
      </x:c>
      <x:c r="I17" s="17" t="str">
        <x:v>Valid (coarse)</x:v>
      </x:c>
      <x:c r="J17" s="17" t="str">
        <x:v>Clear surface theme (ChatGPT + people using it) but blends two arguably distinct audiences: students/education and professional developers/trust.</x:v>
      </x:c>
    </x:row>
    <x:row r="18">
      <x:c r="A18" s="17" t="str">
        <x:v>B</x:v>
      </x:c>
      <x:c r="B18" s="17" t="n">
        <x:v>3</x:v>
      </x:c>
      <x:c r="C18" s="17" t="n">
        <x:v>0</x:v>
      </x:c>
      <x:c r="D18" s="17" t="str">
        <x:v>Rater 2</x:v>
      </x:c>
      <x:c r="E18" s="17" t="str">
        <x:v>Programming Education, Assessment &amp; Feedback with ChatGPT</x:v>
      </x:c>
      <x:c r="F18" s="17" t="n">
        <x:v>5</x:v>
      </x:c>
      <x:c r="G18" s="17" t="n">
        <x:v>5</x:v>
      </x:c>
      <x:c r="H18" s="17" t="n">
        <x:v>4</x:v>
      </x:c>
      <x:c r="I18" s="17" t="str">
        <x:v>Valid</x:v>
      </x:c>
      <x:c r="J18" s="17" t="str">
        <x:v>Clean, tightly focused education/assessment topic.</x:v>
      </x:c>
    </x:row>
    <x:row r="19">
      <x:c r="A19" s="17" t="str">
        <x:v>B</x:v>
      </x:c>
      <x:c r="B19" s="17" t="n">
        <x:v>3</x:v>
      </x:c>
      <x:c r="C19" s="17" t="n">
        <x:v>1</x:v>
      </x:c>
      <x:c r="D19" s="17" t="str">
        <x:v>Rater 2</x:v>
      </x:c>
      <x:c r="E19" s="17" t="str">
        <x:v>Developer Trust &amp; Hallucination Evaluation of AI Coding Tools</x:v>
      </x:c>
      <x:c r="F19" s="17" t="n">
        <x:v>4</x:v>
      </x:c>
      <x:c r="G19" s="17" t="n">
        <x:v>4</x:v>
      </x:c>
      <x:c r="H19" s="17" t="n">
        <x:v>4</x:v>
      </x:c>
      <x:c r="I19" s="17" t="str">
        <x:v>Valid</x:v>
      </x:c>
      <x:c r="J19" s="17" t="str">
        <x:v>Coherently combines hallucination evaluation with the developer-trust angle; reads as one theme rather than two.</x:v>
      </x:c>
    </x:row>
    <x:row r="20">
      <x:c r="A20" s="17" t="str">
        <x:v>B</x:v>
      </x:c>
      <x:c r="B20" s="17" t="n">
        <x:v>3</x:v>
      </x:c>
      <x:c r="C20" s="17" t="n">
        <x:v>2</x:v>
      </x:c>
      <x:c r="D20" s="17" t="str">
        <x:v>Rater 2</x:v>
      </x:c>
      <x:c r="E20" s="17" t="str">
        <x:v>Code Generation Techniques &amp; Requirements-Driven Prompting</x:v>
      </x:c>
      <x:c r="F20" s="17" t="n">
        <x:v>4</x:v>
      </x:c>
      <x:c r="G20" s="17" t="n">
        <x:v>3</x:v>
      </x:c>
      <x:c r="H20" s="17" t="n">
        <x:v>4</x:v>
      </x:c>
      <x:c r="I20" s="17" t="str">
        <x:v>Valid</x:v>
      </x:c>
      <x:c r="J20" s="17" t="str">
        <x:v>Top terms are somewhat generic (requirement, function, input, domain) and less immediately interpretable without the study list, but the studies confirm a consistent methods focus.</x:v>
      </x:c>
    </x:row>
    <x:row r="21">
      <x:c r="A21" s="17" t="str">
        <x:v>D</x:v>
      </x:c>
      <x:c r="B21" s="17" t="n">
        <x:v>4</x:v>
      </x:c>
      <x:c r="C21" s="17" t="n">
        <x:v>0</x:v>
      </x:c>
      <x:c r="D21" s="17" t="str">
        <x:v>Rater 2</x:v>
      </x:c>
      <x:c r="E21" s="17" t="str">
        <x:v>AI Code Verification, Vulnerability &amp; Trust (ChatGPT/Copilot)</x:v>
      </x:c>
      <x:c r="F21" s="17" t="n">
        <x:v>4</x:v>
      </x:c>
      <x:c r="G21" s="17" t="n">
        <x:v>4</x:v>
      </x:c>
      <x:c r="H21" s="17" t="n">
        <x:v>3</x:v>
      </x:c>
      <x:c r="I21" s="17" t="str">
        <x:v>Valid</x:v>
      </x:c>
      <x:c r="J21" s="17" t="str">
        <x:v>Overlaps conceptually with B1 but narrower, emphasizing verification/vulnerability specifically.</x:v>
      </x:c>
    </x:row>
    <x:row r="22">
      <x:c r="A22" s="17" t="str">
        <x:v>D</x:v>
      </x:c>
      <x:c r="B22" s="17" t="n">
        <x:v>4</x:v>
      </x:c>
      <x:c r="C22" s="17" t="n">
        <x:v>1</x:v>
      </x:c>
      <x:c r="D22" s="17" t="str">
        <x:v>Rater 2</x:v>
      </x:c>
      <x:c r="E22" s="17" t="str">
        <x:v>Code Generation Methods &amp; Requirements-Driven Prompting</x:v>
      </x:c>
      <x:c r="F22" s="17" t="n">
        <x:v>4</x:v>
      </x:c>
      <x:c r="G22" s="17" t="n">
        <x:v>3</x:v>
      </x:c>
      <x:c r="H22" s="17" t="n">
        <x:v>3</x:v>
      </x:c>
      <x:c r="I22" s="17" t="str">
        <x:v>Valid</x:v>
      </x:c>
      <x:c r="J22" s="17" t="str">
        <x:v>Nearly a duplicate of B2's topic; contributes little additional distinctiveness within the D solution.</x:v>
      </x:c>
    </x:row>
    <x:row r="23">
      <x:c r="A23" s="17" t="str">
        <x:v>D</x:v>
      </x:c>
      <x:c r="B23" s="17" t="n">
        <x:v>4</x:v>
      </x:c>
      <x:c r="C23" s="17" t="n">
        <x:v>2</x:v>
      </x:c>
      <x:c r="D23" s="17" t="str">
        <x:v>Rater 2</x:v>
      </x:c>
      <x:c r="E23" s="17" t="str">
        <x:v>Education &amp; Practitioner Adoption of ChatGPT</x:v>
      </x:c>
      <x:c r="F23" s="17" t="n">
        <x:v>3</x:v>
      </x:c>
      <x:c r="G23" s="17" t="n">
        <x:v>3</x:v>
      </x:c>
      <x:c r="H23" s="17" t="n">
        <x:v>3</x:v>
      </x:c>
      <x:c r="I23" s="17" t="str">
        <x:v>Borderline</x:v>
      </x:c>
      <x:c r="J23" s="17" t="str">
        <x:v>Mixes classroom-education studies with workplace adoption/perception studies (e.g., community trust, rapid prototyping acceptance) that arguably belong closer to D0's trust theme.</x:v>
      </x:c>
    </x:row>
    <x:row r="24">
      <x:c r="A24" s="17" t="str">
        <x:v>D</x:v>
      </x:c>
      <x:c r="B24" s="17" t="n">
        <x:v>4</x:v>
      </x:c>
      <x:c r="C24" s="17" t="n">
        <x:v>3</x:v>
      </x:c>
      <x:c r="D24" s="17" t="str">
        <x:v>Rater 2</x:v>
      </x:c>
      <x:c r="E24" s="17" t="str">
        <x:v>API/Dependency-Level Hallucination Mitigation</x:v>
      </x:c>
      <x:c r="F24" s="17" t="n">
        <x:v>4</x:v>
      </x:c>
      <x:c r="G24" s="17" t="n">
        <x:v>4</x:v>
      </x:c>
      <x:c r="H24" s="17" t="n">
        <x:v>4</x:v>
      </x:c>
      <x:c r="I24" s="17" t="str">
        <x:v>Valid</x:v>
      </x:c>
      <x:c r="J24" s="17" t="str">
        <x:v>A distinct and useful split-out of the mitigation/benchmarking literature from the general trust/verification theme in D0.</x:v>
      </x:c>
    </x:row>
    <x:row r="25">
      <x:c r="A25" s="17" t="str">
        <x:v>A</x:v>
      </x:c>
      <x:c r="B25" s="17" t="n">
        <x:v>5</x:v>
      </x:c>
      <x:c r="C25" s="17" t="n">
        <x:v>0</x:v>
      </x:c>
      <x:c r="D25" s="17" t="str">
        <x:v>Rater 2</x:v>
      </x:c>
      <x:c r="E25" s="17" t="str">
        <x:v>Programming Education, Assessment &amp; Feedback</x:v>
      </x:c>
      <x:c r="F25" s="17" t="n">
        <x:v>5</x:v>
      </x:c>
      <x:c r="G25" s="17" t="n">
        <x:v>5</x:v>
      </x:c>
      <x:c r="H25" s="17" t="n">
        <x:v>4</x:v>
      </x:c>
      <x:c r="I25" s="17" t="str">
        <x:v>Valid</x:v>
      </x:c>
      <x:c r="J25" s="17" t="str">
        <x:v>Cleanest topic in the model; closely mirrors B0.</x:v>
      </x:c>
    </x:row>
    <x:row r="26">
      <x:c r="A26" s="17" t="str">
        <x:v>A</x:v>
      </x:c>
      <x:c r="B26" s="17" t="n">
        <x:v>5</x:v>
      </x:c>
      <x:c r="C26" s="17" t="n">
        <x:v>1</x:v>
      </x:c>
      <x:c r="D26" s="17" t="str">
        <x:v>Rater 2</x:v>
      </x:c>
      <x:c r="E26" s="17" t="str">
        <x:v>Code Generation Methods, Prompting &amp; Reliability Testing</x:v>
      </x:c>
      <x:c r="F26" s="17" t="n">
        <x:v>4</x:v>
      </x:c>
      <x:c r="G26" s="17" t="n">
        <x:v>3</x:v>
      </x:c>
      <x:c r="H26" s="17" t="n">
        <x:v>3</x:v>
      </x:c>
      <x:c r="I26" s="17" t="str">
        <x:v>Valid</x:v>
      </x:c>
      <x:c r="J26" s="17" t="str">
        <x:v>Overlaps with A2 (hallucination) and A4 (empirical evaluation); boundary between 'method' and 'evaluation' topics is not sharp.</x:v>
      </x:c>
    </x:row>
    <x:row r="27">
      <x:c r="A27" s="17" t="str">
        <x:v>A</x:v>
      </x:c>
      <x:c r="B27" s="17" t="n">
        <x:v>5</x:v>
      </x:c>
      <x:c r="C27" s="17" t="n">
        <x:v>2</x:v>
      </x:c>
      <x:c r="D27" s="17" t="str">
        <x:v>Rater 2</x:v>
      </x:c>
      <x:c r="E27" s="17" t="str">
        <x:v>Hallucination Benchmarking &amp; Mitigation Methods</x:v>
      </x:c>
      <x:c r="F27" s="17" t="n">
        <x:v>5</x:v>
      </x:c>
      <x:c r="G27" s="17" t="n">
        <x:v>4</x:v>
      </x:c>
      <x:c r="H27" s="17" t="n">
        <x:v>4</x:v>
      </x:c>
      <x:c r="I27" s="17" t="str">
        <x:v>Valid</x:v>
      </x:c>
      <x:c r="J27" s="17" t="str">
        <x:v>Clear, focused hallucination-specific topic, comparable to D3.</x:v>
      </x:c>
    </x:row>
    <x:row r="28">
      <x:c r="A28" s="17" t="str">
        <x:v>A</x:v>
      </x:c>
      <x:c r="B28" s="17" t="n">
        <x:v>5</x:v>
      </x:c>
      <x:c r="C28" s="17" t="n">
        <x:v>3</x:v>
      </x:c>
      <x:c r="D28" s="17" t="str">
        <x:v>Rater 2</x:v>
      </x:c>
      <x:c r="E28" s="17" t="str">
        <x:v>Developer/User Experience with AI Coding Assistants (Copilot)</x:v>
      </x:c>
      <x:c r="F28" s="17" t="n">
        <x:v>4</x:v>
      </x:c>
      <x:c r="G28" s="17" t="n">
        <x:v>4</x:v>
      </x:c>
      <x:c r="H28" s="17" t="n">
        <x:v>4</x:v>
      </x:c>
      <x:c r="I28" s="17" t="str">
        <x:v>Valid</x:v>
      </x:c>
      <x:c r="J28" s="17" t="str">
        <x:v>Reasonably distinct usability/UX angle, though it shares some study overlap with A4.</x:v>
      </x:c>
    </x:row>
    <x:row r="29">
      <x:c r="A29" s="17" t="str">
        <x:v>A</x:v>
      </x:c>
      <x:c r="B29" s="17" t="n">
        <x:v>5</x:v>
      </x:c>
      <x:c r="C29" s="17" t="n">
        <x:v>4</x:v>
      </x:c>
      <x:c r="D29" s="17" t="str">
        <x:v>Rater 2</x:v>
      </x:c>
      <x:c r="E29" s="17" t="str">
        <x:v>Empirical Evaluation of ChatGPT/LLMs in Software Engineering Practice</x:v>
      </x:c>
      <x:c r="F29" s="17" t="n">
        <x:v>3</x:v>
      </x:c>
      <x:c r="G29" s="17" t="n">
        <x:v>3</x:v>
      </x:c>
      <x:c r="H29" s="17" t="n">
        <x:v>2</x:v>
      </x:c>
      <x:c r="I29" s="17" t="str">
        <x:v>Borderline</x:v>
      </x:c>
      <x:c r="J29" s="17" t="str">
        <x:v>Reads as a residual/catch-all topic overlapping substantially with A1 (reliability/evaluation) and A3 (developer experience); weakest distinctiveness in the model.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40" t="str">
        <x:v>Model</x:v>
      </x:c>
      <x:c r="B1" s="40" t="str">
        <x:v>k</x:v>
      </x:c>
      <x:c r="C1" s="40" t="str">
        <x:v>R1 Coherence</x:v>
      </x:c>
      <x:c r="D1" s="40" t="str">
        <x:v>R1 Interpretability</x:v>
      </x:c>
      <x:c r="E1" s="40" t="str">
        <x:v>R1 Distinctiveness</x:v>
      </x:c>
      <x:c r="F1" s="40" t="str">
        <x:v>R1 Overall</x:v>
      </x:c>
      <x:c r="G1" s="40" t="str">
        <x:v>R2 Coherence</x:v>
      </x:c>
      <x:c r="H1" s="40" t="str">
        <x:v>R2 Interpretability</x:v>
      </x:c>
      <x:c r="I1" s="40" t="str">
        <x:v>R2 Distinctiveness</x:v>
      </x:c>
      <x:c r="J1" s="40" t="str">
        <x:v>R2 Overall</x:v>
      </x:c>
      <x:c r="K1" s="47" t="str">
        <x:v>Combined Coherence</x:v>
      </x:c>
      <x:c r="L1" s="47" t="str">
        <x:v>Combined Interpretability</x:v>
      </x:c>
      <x:c r="M1" s="47" t="str">
        <x:v>Combined Distinctiveness</x:v>
      </x:c>
      <x:c r="N1" s="47" t="str">
        <x:v>Combined Overall</x:v>
      </x:c>
    </x:row>
    <x:row r="2">
      <x:c r="A2" s="17" t="str">
        <x:v>C</x:v>
      </x:c>
      <x:c r="B2" s="17" t="n">
        <x:v>2</x:v>
      </x:c>
      <x:c r="C2" s="54" t="n">
        <x:v>3.5</x:v>
      </x:c>
      <x:c r="D2" s="54" t="n">
        <x:v>4</x:v>
      </x:c>
      <x:c r="E2" s="54" t="n">
        <x:v>4</x:v>
      </x:c>
      <x:c r="F2" s="54" t="n">
        <x:v>3.8333333333333335</x:v>
      </x:c>
      <x:c r="G2" s="54" t="n">
        <x:v>3.5</x:v>
      </x:c>
      <x:c r="H2" s="54" t="n">
        <x:v>3.5</x:v>
      </x:c>
      <x:c r="I2" s="54" t="n">
        <x:v>3</x:v>
      </x:c>
      <x:c r="J2" s="54" t="n">
        <x:v>3.3333333333333335</x:v>
      </x:c>
      <x:c r="K2" s="54" t="n">
        <x:f>AVERAGE(C2,G2)</x:f>
        <x:v>3.5</x:v>
      </x:c>
      <x:c r="L2" s="54" t="n">
        <x:f>AVERAGE(D2,H2)</x:f>
        <x:v>3.75</x:v>
      </x:c>
      <x:c r="M2" s="54" t="n">
        <x:f>AVERAGE(E2,I2)</x:f>
        <x:v>3.5</x:v>
      </x:c>
      <x:c r="N2" s="54" t="n">
        <x:f>AVERAGE(K2:M2)</x:f>
        <x:v>3.5833333333333335</x:v>
      </x:c>
    </x:row>
    <x:row r="3">
      <x:c r="A3" s="17" t="str">
        <x:v>B</x:v>
      </x:c>
      <x:c r="B3" s="17" t="n">
        <x:v>3</x:v>
      </x:c>
      <x:c r="C3" s="54" t="n">
        <x:v>4.333333333333333</x:v>
      </x:c>
      <x:c r="D3" s="54" t="n">
        <x:v>4.333333333333333</x:v>
      </x:c>
      <x:c r="E3" s="54" t="n">
        <x:v>4</x:v>
      </x:c>
      <x:c r="F3" s="54" t="n">
        <x:v>4.222222222222222</x:v>
      </x:c>
      <x:c r="G3" s="54" t="n">
        <x:v>4.333333333333333</x:v>
      </x:c>
      <x:c r="H3" s="54" t="n">
        <x:v>4</x:v>
      </x:c>
      <x:c r="I3" s="54" t="n">
        <x:v>4</x:v>
      </x:c>
      <x:c r="J3" s="54" t="n">
        <x:v>4.111111111111111</x:v>
      </x:c>
      <x:c r="K3" s="54" t="n">
        <x:f>AVERAGE(C3,G3)</x:f>
        <x:v>4.333333333333333</x:v>
      </x:c>
      <x:c r="L3" s="54" t="n">
        <x:f>AVERAGE(D3,H3)</x:f>
        <x:v>4.166666666666666</x:v>
      </x:c>
      <x:c r="M3" s="54" t="n">
        <x:f>AVERAGE(E3,I3)</x:f>
        <x:v>4</x:v>
      </x:c>
      <x:c r="N3" s="54" t="n">
        <x:f>AVERAGE(K3:M3)</x:f>
        <x:v>4.166666666666667</x:v>
      </x:c>
    </x:row>
    <x:row r="4">
      <x:c r="A4" s="17" t="str">
        <x:v>D</x:v>
      </x:c>
      <x:c r="B4" s="17" t="n">
        <x:v>4</x:v>
      </x:c>
      <x:c r="C4" s="54" t="n">
        <x:v>4.25</x:v>
      </x:c>
      <x:c r="D4" s="54" t="n">
        <x:v>4.25</x:v>
      </x:c>
      <x:c r="E4" s="54" t="n">
        <x:v>4.25</x:v>
      </x:c>
      <x:c r="F4" s="54" t="n">
        <x:v>4.25</x:v>
      </x:c>
      <x:c r="G4" s="54" t="n">
        <x:v>3.75</x:v>
      </x:c>
      <x:c r="H4" s="54" t="n">
        <x:v>3.5</x:v>
      </x:c>
      <x:c r="I4" s="54" t="n">
        <x:v>3.25</x:v>
      </x:c>
      <x:c r="J4" s="54" t="n">
        <x:v>3.5</x:v>
      </x:c>
      <x:c r="K4" s="54" t="n">
        <x:f>AVERAGE(C4,G4)</x:f>
        <x:v>4</x:v>
      </x:c>
      <x:c r="L4" s="54" t="n">
        <x:f>AVERAGE(D4,H4)</x:f>
        <x:v>3.875</x:v>
      </x:c>
      <x:c r="M4" s="54" t="n">
        <x:f>AVERAGE(E4,I4)</x:f>
        <x:v>3.75</x:v>
      </x:c>
      <x:c r="N4" s="54" t="n">
        <x:f>AVERAGE(K4:M4)</x:f>
        <x:v>3.875</x:v>
      </x:c>
    </x:row>
    <x:row r="5">
      <x:c r="A5" s="17" t="str">
        <x:v>A</x:v>
      </x:c>
      <x:c r="B5" s="17" t="n">
        <x:v>5</x:v>
      </x:c>
      <x:c r="C5" s="54" t="n">
        <x:v>4.2</x:v>
      </x:c>
      <x:c r="D5" s="54" t="n">
        <x:v>4</x:v>
      </x:c>
      <x:c r="E5" s="54" t="n">
        <x:v>4.2</x:v>
      </x:c>
      <x:c r="F5" s="54" t="n">
        <x:v>4.133333333333334</x:v>
      </x:c>
      <x:c r="G5" s="54" t="n">
        <x:v>4.2</x:v>
      </x:c>
      <x:c r="H5" s="54" t="n">
        <x:v>3.8</x:v>
      </x:c>
      <x:c r="I5" s="54" t="n">
        <x:v>3.4</x:v>
      </x:c>
      <x:c r="J5" s="54" t="n">
        <x:v>3.8</x:v>
      </x:c>
      <x:c r="K5" s="54" t="n">
        <x:f>AVERAGE(C5,G5)</x:f>
        <x:v>4.2</x:v>
      </x:c>
      <x:c r="L5" s="54" t="n">
        <x:f>AVERAGE(D5,H5)</x:f>
        <x:v>3.9</x:v>
      </x:c>
      <x:c r="M5" s="54" t="n">
        <x:f>AVERAGE(E5,I5)</x:f>
        <x:v>3.8</x:v>
      </x:c>
      <x:c r="N5" s="54" t="n">
        <x:f>AVERAGE(K5:M5)</x:f>
        <x:v>3.9666666666666663</x:v>
      </x:c>
    </x:row>
  </x:sheetData>
  <x:conditionalFormatting sqref="N2:N5">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70" hidden="0" customWidth="1"/>
  </x:cols>
  <x:sheetData>
    <x:row r="1">
      <x:c r="A1" s="40" t="str">
        <x:v>Model</x:v>
      </x:c>
      <x:c r="B1" s="40" t="str">
        <x:v>k</x:v>
      </x:c>
      <x:c r="C1" s="40" t="str">
        <x:v>Rater</x:v>
      </x:c>
      <x:c r="D1" s="40" t="str">
        <x:v>Redundant Topics?</x:v>
      </x:c>
      <x:c r="E1" s="40" t="str">
        <x:v>Merges Themes?</x:v>
      </x:c>
      <x:c r="F1" s="40" t="str">
        <x:v>Splits Theme?</x:v>
      </x:c>
      <x:c r="G1" s="40" t="str">
        <x:v>Every Topic Meaningful?</x:v>
      </x:c>
      <x:c r="H1" s="40" t="str">
        <x:v>Notes</x:v>
      </x:c>
    </x:row>
    <x:row r="2">
      <x:c r="A2" s="17" t="str">
        <x:v>C</x:v>
      </x:c>
      <x:c r="B2" s="17" t="n">
        <x:v>2</x:v>
      </x:c>
      <x:c r="C2" s="17" t="str">
        <x:v>Rater1</x:v>
      </x:c>
      <x:c r="D2" s="17" t="str">
        <x:v>0.0</x:v>
      </x:c>
      <x:c r="E2" s="17" t="str">
        <x:v>1.0</x:v>
      </x:c>
      <x:c r="F2" s="17" t="str">
        <x:v>0.0</x:v>
      </x:c>
      <x:c r="G2" s="17" t="str">
        <x:v>0.0</x:v>
      </x:c>
      <x:c r="H2" s="17" t="str">
        <x:v>Merges safety-critical requirements with hallucinations. Too broad.</x:v>
      </x:c>
    </x:row>
    <x:row r="3">
      <x:c r="A3" s="17" t="str">
        <x:v>B</x:v>
      </x:c>
      <x:c r="B3" s="17" t="n">
        <x:v>3</x:v>
      </x:c>
      <x:c r="C3" s="17" t="str">
        <x:v>Rater1</x:v>
      </x:c>
      <x:c r="D3" s="17" t="str">
        <x:v>0.0</x:v>
      </x:c>
      <x:c r="E3" s="17" t="str">
        <x:v>1.0</x:v>
      </x:c>
      <x:c r="F3" s="17" t="str">
        <x:v>0.0</x:v>
      </x:c>
      <x:c r="G3" s="17" t="str">
        <x:v>1.0</x:v>
      </x:c>
      <x:c r="H3" s="17" t="str">
        <x:v>Better balance, but slightly compresses developer workflows, vulnerabilities, and hallucinations.</x:v>
      </x:c>
    </x:row>
    <x:row r="4">
      <x:c r="A4" s="17" t="str">
        <x:v>D</x:v>
      </x:c>
      <x:c r="B4" s="17" t="n">
        <x:v>4</x:v>
      </x:c>
      <x:c r="C4" s="17" t="str">
        <x:v>Rater1</x:v>
      </x:c>
      <x:c r="D4" s="17" t="str">
        <x:v>0.0</x:v>
      </x:c>
      <x:c r="E4" s="17" t="str">
        <x:v>0.0</x:v>
      </x:c>
      <x:c r="F4" s="17" t="str">
        <x:v>1.0</x:v>
      </x:c>
      <x:c r="G4" s="17" t="str">
        <x:v>1.0</x:v>
      </x:c>
      <x:c r="H4" s="17" t="str">
        <x:v>Good coverage, though it splits hallucinations and vulnerabilities which are related.</x:v>
      </x:c>
    </x:row>
    <x:row r="5">
      <x:c r="A5" s="17" t="str">
        <x:v>A</x:v>
      </x:c>
      <x:c r="B5" s="17" t="n">
        <x:v>5</x:v>
      </x:c>
      <x:c r="C5" s="17" t="str">
        <x:v>Rater1</x:v>
      </x:c>
      <x:c r="D5" s="17" t="str">
        <x:v>0.0</x:v>
      </x:c>
      <x:c r="E5" s="17" t="str">
        <x:v>0.0</x:v>
      </x:c>
      <x:c r="F5" s="17" t="str">
        <x:v>0.0</x:v>
      </x:c>
      <x:c r="G5" s="17" t="str">
        <x:v>1.0</x:v>
      </x:c>
      <x:c r="H5" s="17" t="str">
        <x:v>Excellent granularity. Isolates distinct areas without unnecessary splitting.</x:v>
      </x:c>
    </x:row>
    <x:row r="6">
      <x:c r="A6" s="17" t="str">
        <x:v>C</x:v>
      </x:c>
      <x:c r="B6" s="17" t="n">
        <x:v>2</x:v>
      </x:c>
      <x:c r="C6" s="17" t="str">
        <x:v>Rater2</x:v>
      </x:c>
      <x:c r="D6" s="17" t="str">
        <x:v>No</x:v>
      </x:c>
      <x:c r="E6" s="17" t="str">
        <x:v>Yes</x:v>
      </x:c>
      <x:c r="F6" s="17" t="str">
        <x:v>No</x:v>
      </x:c>
      <x:c r="G6" s="17" t="str">
        <x:v>Yes</x:v>
      </x:c>
      <x:c r="H6" s="17" t="str">
        <x:v>Only 2 topics; each is meaningful at a high level but clearly merges distinguishable sub-themes (education vs. developer trust in Topic 1; safety-critical/general code-gen technique vs. hallucination benchmarking in Topic 0). Too coarse to separate key constructs.</x:v>
      </x:c>
    </x:row>
    <x:row r="7">
      <x:c r="A7" s="17" t="str">
        <x:v>B</x:v>
      </x:c>
      <x:c r="B7" s="17" t="n">
        <x:v>3</x:v>
      </x:c>
      <x:c r="C7" s="17" t="str">
        <x:v>Rater2</x:v>
      </x:c>
      <x:c r="D7" s="17" t="str">
        <x:v>No</x:v>
      </x:c>
      <x:c r="E7" s="17" t="str">
        <x:v>No</x:v>
      </x:c>
      <x:c r="F7" s="17" t="str">
        <x:v>No</x:v>
      </x:c>
      <x:c r="G7" s="17" t="str">
        <x:v>Yes</x:v>
      </x:c>
      <x:c r="H7" s="17" t="str">
        <x:v>Three topics (education, trust/hallucination-evaluation, code-gen technique) are each coherent and mutually distinct. Best coverage-to-simplicity balance of the four models.</x:v>
      </x:c>
    </x:row>
    <x:row r="8">
      <x:c r="A8" s="17" t="str">
        <x:v>D</x:v>
      </x:c>
      <x:c r="B8" s="17" t="n">
        <x:v>4</x:v>
      </x:c>
      <x:c r="C8" s="17" t="str">
        <x:v>Rater2</x:v>
      </x:c>
      <x:c r="D8" s="17" t="str">
        <x:v>Somewhat</x:v>
      </x:c>
      <x:c r="E8" s="17" t="str">
        <x:v>Somewhat</x:v>
      </x:c>
      <x:c r="F8" s="17" t="str">
        <x:v>Somewhat</x:v>
      </x:c>
      <x:c r="G8" s="17" t="str">
        <x:v>Mostly</x:v>
      </x:c>
      <x:c r="H8" s="17" t="str">
        <x:v>Topic 1 (methods/requirements) is nearly redundant with what a 3-topic solution already captures. Topic 2 mixes classroom education with workplace adoption/perception studies. Splitting hallucination into Topic 0 (trust/vulnerability) and Topic 3 (API/mitigation benchmarking) is arguably useful, but adds complexity without full separation.</x:v>
      </x:c>
    </x:row>
    <x:row r="9">
      <x:c r="A9" s="17" t="str">
        <x:v>A</x:v>
      </x:c>
      <x:c r="B9" s="17" t="n">
        <x:v>5</x:v>
      </x:c>
      <x:c r="C9" s="17" t="str">
        <x:v>Rater2</x:v>
      </x:c>
      <x:c r="D9" s="17" t="str">
        <x:v>Yes</x:v>
      </x:c>
      <x:c r="E9" s="17" t="str">
        <x:v>No</x:v>
      </x:c>
      <x:c r="F9" s="17" t="str">
        <x:v>Yes</x:v>
      </x:c>
      <x:c r="G9" s="17" t="str">
        <x:v>Mostly</x:v>
      </x:c>
      <x:c r="H9" s="17" t="str">
        <x:v>Topics 0 and 2 (education; hallucination benchmarking) are clean and distinct. Topic 4 overlaps substantially with Topics 1 and 3, functioning as a residual 'general empirical evaluation' topic rather than a clearly separate construct — suggests the developer-experience/reliability theme is over-split across three topics (1, 3, 4).</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80" hidden="0" customWidth="1"/>
  </x:cols>
  <x:sheetData>
    <x:row r="1">
      <x:c r="A1" s="40" t="str">
        <x:v>Rater</x:v>
      </x:c>
      <x:c r="B1" s="40" t="str">
        <x:v>Preferred Model</x:v>
      </x:c>
      <x:c r="C1" s="40" t="str">
        <x:v>Preferred k</x:v>
      </x:c>
      <x:c r="D1" s="40" t="str">
        <x:v>Reasoning</x:v>
      </x:c>
    </x:row>
    <x:row r="2">
      <x:c r="A2" s="17" t="str">
        <x:v>Rater 1</x:v>
      </x:c>
      <x:c r="B2" s="17" t="str">
        <x:v>Model A</x:v>
      </x:c>
      <x:c r="C2" s="17" t="n">
        <x:v>5</x:v>
      </x:c>
      <x:c r="D2" s="17" t="str">
        <x:v>Model A provides the clearest and most interpretable overall representation. It effectively isolates distinct areas of current LLM research (Education, Domain-Specific Requirements, Hallucination Benchmarking, Assistant Usability, and Developer Workflows) without leaving themes merged or creating redundant topics.</x:v>
      </x:c>
    </x:row>
    <x:row r="3" ht="100" customHeight="1">
      <x:c r="A3" s="17" t="str">
        <x:v>Rater 2</x:v>
      </x:c>
      <x:c r="B3" s="17" t="str">
        <x:v>B</x:v>
      </x:c>
      <x:c r="C3" s="17" t="n">
        <x:v>3</x:v>
      </x:c>
      <x:c r="D3" s="17" t="str">
        <x:v>Model B's three topics (programming education/assessment, developer trust and hallucination evaluation, and code-generation technique/requirements) are each internally coherent and clearly distinguishable from one another, without the merging seen in Model C's two-topic solution or the apparent over-splitting/redundancy seen in Model D (Topic 1 near-duplicates the technique topic; Topic 2 mixes education with workplace adoption) and Model A (Topic 4 overlaps heavily with Topics 1 and 3 and reads as a residual category). Model D's isolation of an API/dependency hallucination-mitigation topic (Topic 3) is a genuine strength Model B lacks, and would be my second choice if finer hallucination-related granularity were the priority, but on balance Model B offers the clearest and most interpretable overall representation.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24" hidden="0" customWidth="1"/>
    <x:col min="8" max="8" width="55" hidden="0" customWidth="1"/>
  </x:cols>
  <x:sheetData>
    <x:row r="1">
      <x:c r="A1" s="40" t="str">
        <x:v>Rater</x:v>
      </x:c>
      <x:c r="B1" s="40" t="str">
        <x:v>Model</x:v>
      </x:c>
      <x:c r="C1" s="40" t="str">
        <x:v>k</x:v>
      </x:c>
      <x:c r="D1" s="40" t="str">
        <x:v>Topic</x:v>
      </x:c>
      <x:c r="E1" s="40" t="str">
        <x:v>Word Answer Completed?</x:v>
      </x:c>
      <x:c r="F1" s="40" t="str">
        <x:v>Document Answer Completed?</x:v>
      </x:c>
      <x:c r="G1" s="40" t="str">
        <x:v>Word Answer</x:v>
      </x:c>
      <x:c r="H1" s="40" t="str">
        <x:v>Document Answer</x:v>
      </x:c>
    </x:row>
    <x:row r="2">
      <x:c r="A2" s="17" t="str">
        <x:v>Rater 1</x:v>
      </x:c>
      <x:c r="B2" s="17" t="str">
        <x:v>C</x:v>
      </x:c>
      <x:c r="C2" s="17" t="n">
        <x:v>2</x:v>
      </x:c>
      <x:c r="D2" s="17" t="n">
        <x:v>0</x:v>
      </x:c>
      <x:c r="E2" s="17" t="str">
        <x:v>Yes</x:v>
      </x:c>
      <x:c r="F2" s="17" t="str">
        <x:v>Yes</x:v>
      </x:c>
      <x:c r="G2" s="17" t="str">
        <x:v>chatgpt</x:v>
      </x:c>
      <x:c r="H2" s="17" t="str">
        <x:v>S60: Would ChatGPT-facilitated programming mode impact college students’ programming behaviors, performances, and perceptions? An empirical study</x:v>
      </x:c>
    </x:row>
    <x:row r="3">
      <x:c r="A3" s="17" t="str">
        <x:v>Rater 1</x:v>
      </x:c>
      <x:c r="B3" s="17" t="str">
        <x:v>C</x:v>
      </x:c>
      <x:c r="C3" s="17" t="n">
        <x:v>2</x:v>
      </x:c>
      <x:c r="D3" s="17" t="n">
        <x:v>1</x:v>
      </x:c>
      <x:c r="E3" s="17" t="str">
        <x:v>Yes</x:v>
      </x:c>
      <x:c r="F3" s="17" t="str">
        <x:v>Yes</x:v>
      </x:c>
      <x:c r="G3" s="17" t="str">
        <x:v>requirement</x:v>
      </x:c>
      <x:c r="H3" s="17" t="str">
        <x:v>S08: An Empirical Study of the Code Generation of Safety-Critical Software Using LLMs</x:v>
      </x:c>
    </x:row>
    <x:row r="4">
      <x:c r="A4" s="17" t="str">
        <x:v>Rater 1</x:v>
      </x:c>
      <x:c r="B4" s="17" t="str">
        <x:v>B</x:v>
      </x:c>
      <x:c r="C4" s="17" t="n">
        <x:v>3</x:v>
      </x:c>
      <x:c r="D4" s="17" t="n">
        <x:v>0</x:v>
      </x:c>
      <x:c r="E4" s="17" t="str">
        <x:v>No</x:v>
      </x:c>
      <x:c r="F4" s="17" t="str">
        <x:v>No</x:v>
      </x:c>
      <x:c r="G4" s="17" t="str"/>
      <x:c r="H4" s="17" t="str"/>
    </x:row>
    <x:row r="5">
      <x:c r="A5" s="17" t="str">
        <x:v>Rater 1</x:v>
      </x:c>
      <x:c r="B5" s="17" t="str">
        <x:v>B</x:v>
      </x:c>
      <x:c r="C5" s="17" t="n">
        <x:v>3</x:v>
      </x:c>
      <x:c r="D5" s="17" t="n">
        <x:v>1</x:v>
      </x:c>
      <x:c r="E5" s="17" t="str">
        <x:v>No</x:v>
      </x:c>
      <x:c r="F5" s="17" t="str">
        <x:v>No</x:v>
      </x:c>
      <x:c r="G5" s="17" t="str"/>
      <x:c r="H5" s="17" t="str"/>
    </x:row>
    <x:row r="6">
      <x:c r="A6" s="17" t="str">
        <x:v>Rater 1</x:v>
      </x:c>
      <x:c r="B6" s="17" t="str">
        <x:v>B</x:v>
      </x:c>
      <x:c r="C6" s="17" t="n">
        <x:v>3</x:v>
      </x:c>
      <x:c r="D6" s="17" t="n">
        <x:v>2</x:v>
      </x:c>
      <x:c r="E6" s="17" t="str">
        <x:v>No</x:v>
      </x:c>
      <x:c r="F6" s="17" t="str">
        <x:v>No</x:v>
      </x:c>
      <x:c r="G6" s="17" t="str"/>
      <x:c r="H6" s="17" t="str"/>
    </x:row>
    <x:row r="7">
      <x:c r="A7" s="17" t="str">
        <x:v>Rater 1</x:v>
      </x:c>
      <x:c r="B7" s="17" t="str">
        <x:v>D</x:v>
      </x:c>
      <x:c r="C7" s="17" t="n">
        <x:v>4</x:v>
      </x:c>
      <x:c r="D7" s="17" t="n">
        <x:v>0</x:v>
      </x:c>
      <x:c r="E7" s="17" t="str">
        <x:v>No</x:v>
      </x:c>
      <x:c r="F7" s="17" t="str">
        <x:v>No</x:v>
      </x:c>
      <x:c r="G7" s="17" t="str"/>
      <x:c r="H7" s="17" t="str"/>
    </x:row>
    <x:row r="8">
      <x:c r="A8" s="17" t="str">
        <x:v>Rater 1</x:v>
      </x:c>
      <x:c r="B8" s="17" t="str">
        <x:v>D</x:v>
      </x:c>
      <x:c r="C8" s="17" t="n">
        <x:v>4</x:v>
      </x:c>
      <x:c r="D8" s="17" t="n">
        <x:v>1</x:v>
      </x:c>
      <x:c r="E8" s="17" t="str">
        <x:v>No</x:v>
      </x:c>
      <x:c r="F8" s="17" t="str">
        <x:v>No</x:v>
      </x:c>
      <x:c r="G8" s="17" t="str"/>
      <x:c r="H8" s="17" t="str"/>
    </x:row>
    <x:row r="9">
      <x:c r="A9" s="17" t="str">
        <x:v>Rater 1</x:v>
      </x:c>
      <x:c r="B9" s="17" t="str">
        <x:v>D</x:v>
      </x:c>
      <x:c r="C9" s="17" t="n">
        <x:v>4</x:v>
      </x:c>
      <x:c r="D9" s="17" t="n">
        <x:v>2</x:v>
      </x:c>
      <x:c r="E9" s="17" t="str">
        <x:v>No</x:v>
      </x:c>
      <x:c r="F9" s="17" t="str">
        <x:v>No</x:v>
      </x:c>
      <x:c r="G9" s="17" t="str"/>
      <x:c r="H9" s="17" t="str"/>
    </x:row>
    <x:row r="10">
      <x:c r="A10" s="17" t="str">
        <x:v>Rater 1</x:v>
      </x:c>
      <x:c r="B10" s="17" t="str">
        <x:v>D</x:v>
      </x:c>
      <x:c r="C10" s="17" t="n">
        <x:v>4</x:v>
      </x:c>
      <x:c r="D10" s="17" t="n">
        <x:v>3</x:v>
      </x:c>
      <x:c r="E10" s="17" t="str">
        <x:v>No</x:v>
      </x:c>
      <x:c r="F10" s="17" t="str">
        <x:v>No</x:v>
      </x:c>
      <x:c r="G10" s="17" t="str"/>
      <x:c r="H10" s="17" t="str"/>
    </x:row>
    <x:row r="11">
      <x:c r="A11" s="17" t="str">
        <x:v>Rater 1</x:v>
      </x:c>
      <x:c r="B11" s="17" t="str">
        <x:v>A</x:v>
      </x:c>
      <x:c r="C11" s="17" t="n">
        <x:v>5</x:v>
      </x:c>
      <x:c r="D11" s="17" t="n">
        <x:v>0</x:v>
      </x:c>
      <x:c r="E11" s="17" t="str">
        <x:v>No</x:v>
      </x:c>
      <x:c r="F11" s="17" t="str">
        <x:v>No</x:v>
      </x:c>
      <x:c r="G11" s="17" t="str"/>
      <x:c r="H11" s="17" t="str"/>
    </x:row>
    <x:row r="12">
      <x:c r="A12" s="17" t="str">
        <x:v>Rater 1</x:v>
      </x:c>
      <x:c r="B12" s="17" t="str">
        <x:v>A</x:v>
      </x:c>
      <x:c r="C12" s="17" t="n">
        <x:v>5</x:v>
      </x:c>
      <x:c r="D12" s="17" t="n">
        <x:v>1</x:v>
      </x:c>
      <x:c r="E12" s="17" t="str">
        <x:v>No</x:v>
      </x:c>
      <x:c r="F12" s="17" t="str">
        <x:v>No</x:v>
      </x:c>
      <x:c r="G12" s="17" t="str"/>
      <x:c r="H12" s="17" t="str"/>
    </x:row>
    <x:row r="13">
      <x:c r="A13" s="17" t="str">
        <x:v>Rater 1</x:v>
      </x:c>
      <x:c r="B13" s="17" t="str">
        <x:v>A</x:v>
      </x:c>
      <x:c r="C13" s="17" t="n">
        <x:v>5</x:v>
      </x:c>
      <x:c r="D13" s="17" t="n">
        <x:v>2</x:v>
      </x:c>
      <x:c r="E13" s="17" t="str">
        <x:v>No</x:v>
      </x:c>
      <x:c r="F13" s="17" t="str">
        <x:v>No</x:v>
      </x:c>
      <x:c r="G13" s="17" t="str"/>
      <x:c r="H13" s="17" t="str"/>
    </x:row>
    <x:row r="14">
      <x:c r="A14" s="17" t="str">
        <x:v>Rater 1</x:v>
      </x:c>
      <x:c r="B14" s="17" t="str">
        <x:v>A</x:v>
      </x:c>
      <x:c r="C14" s="17" t="n">
        <x:v>5</x:v>
      </x:c>
      <x:c r="D14" s="17" t="n">
        <x:v>3</x:v>
      </x:c>
      <x:c r="E14" s="17" t="str">
        <x:v>No</x:v>
      </x:c>
      <x:c r="F14" s="17" t="str">
        <x:v>No</x:v>
      </x:c>
      <x:c r="G14" s="17" t="str"/>
      <x:c r="H14" s="17" t="str"/>
    </x:row>
    <x:row r="15">
      <x:c r="A15" s="17" t="str">
        <x:v>Rater 1</x:v>
      </x:c>
      <x:c r="B15" s="17" t="str">
        <x:v>A</x:v>
      </x:c>
      <x:c r="C15" s="17" t="n">
        <x:v>5</x:v>
      </x:c>
      <x:c r="D15" s="17" t="n">
        <x:v>4</x:v>
      </x:c>
      <x:c r="E15" s="17" t="str">
        <x:v>No</x:v>
      </x:c>
      <x:c r="F15" s="17" t="str">
        <x:v>No</x:v>
      </x:c>
      <x:c r="G15" s="17" t="str"/>
      <x:c r="H15" s="17" t="str"/>
    </x:row>
    <x:row r="16">
      <x:c r="A16" s="17" t="str">
        <x:v>Rater 2</x:v>
      </x:c>
      <x:c r="B16" s="17" t="str">
        <x:v>C</x:v>
      </x:c>
      <x:c r="C16" s="17" t="n">
        <x:v>2</x:v>
      </x:c>
      <x:c r="D16" s="17" t="n">
        <x:v>0</x:v>
      </x:c>
      <x:c r="E16" s="17" t="str">
        <x:v>Yes</x:v>
      </x:c>
      <x:c r="F16" s="17" t="str">
        <x:v>Yes</x:v>
      </x:c>
      <x:c r="G16" s="17" t="str">
        <x:v>chatgpt</x:v>
      </x:c>
      <x:c r="H16" s="17" t="str">
        <x:v>S60</x:v>
      </x:c>
    </x:row>
    <x:row r="17">
      <x:c r="A17" s="17" t="str">
        <x:v>Rater 2</x:v>
      </x:c>
      <x:c r="B17" s="17" t="str">
        <x:v>C</x:v>
      </x:c>
      <x:c r="C17" s="17" t="n">
        <x:v>2</x:v>
      </x:c>
      <x:c r="D17" s="17" t="n">
        <x:v>1</x:v>
      </x:c>
      <x:c r="E17" s="17" t="str">
        <x:v>Yes</x:v>
      </x:c>
      <x:c r="F17" s="17" t="str">
        <x:v>Yes</x:v>
      </x:c>
      <x:c r="G17" s="17" t="str">
        <x:v>requirement</x:v>
      </x:c>
      <x:c r="H17" s="17" t="str">
        <x:v>S08</x:v>
      </x:c>
    </x:row>
    <x:row r="18">
      <x:c r="A18" s="17" t="str">
        <x:v>Rater 2</x:v>
      </x:c>
      <x:c r="B18" s="17" t="str">
        <x:v>B</x:v>
      </x:c>
      <x:c r="C18" s="17" t="n">
        <x:v>3</x:v>
      </x:c>
      <x:c r="D18" s="17" t="n">
        <x:v>0</x:v>
      </x:c>
      <x:c r="E18" s="17" t="str">
        <x:v>Yes</x:v>
      </x:c>
      <x:c r="F18" s="17" t="str">
        <x:v>Yes</x:v>
      </x:c>
      <x:c r="G18" s="17" t="str">
        <x:v>requirement</x:v>
      </x:c>
      <x:c r="H18" s="17" t="str">
        <x:v>S08</x:v>
      </x:c>
    </x:row>
    <x:row r="19">
      <x:c r="A19" s="17" t="str">
        <x:v>Rater 2</x:v>
      </x:c>
      <x:c r="B19" s="17" t="str">
        <x:v>B</x:v>
      </x:c>
      <x:c r="C19" s="17" t="n">
        <x:v>3</x:v>
      </x:c>
      <x:c r="D19" s="17" t="n">
        <x:v>1</x:v>
      </x:c>
      <x:c r="E19" s="17" t="str">
        <x:v>Yes</x:v>
      </x:c>
      <x:c r="F19" s="17" t="str">
        <x:v>Yes</x:v>
      </x:c>
      <x:c r="G19" s="17" t="str">
        <x:v>requirement</x:v>
      </x:c>
      <x:c r="H19" s="17" t="str">
        <x:v>S08</x:v>
      </x:c>
    </x:row>
    <x:row r="20">
      <x:c r="A20" s="17" t="str">
        <x:v>Rater 2</x:v>
      </x:c>
      <x:c r="B20" s="17" t="str">
        <x:v>B</x:v>
      </x:c>
      <x:c r="C20" s="17" t="n">
        <x:v>3</x:v>
      </x:c>
      <x:c r="D20" s="17" t="n">
        <x:v>2</x:v>
      </x:c>
      <x:c r="E20" s="17" t="str">
        <x:v>Yes</x:v>
      </x:c>
      <x:c r="F20" s="17" t="str">
        <x:v>Yes</x:v>
      </x:c>
      <x:c r="G20" s="17" t="str">
        <x:v>chatgpt</x:v>
      </x:c>
      <x:c r="H20" s="17" t="str">
        <x:v>S54</x:v>
      </x:c>
    </x:row>
    <x:row r="21">
      <x:c r="A21" s="17" t="str">
        <x:v>Rater 2</x:v>
      </x:c>
      <x:c r="B21" s="17" t="str">
        <x:v>D</x:v>
      </x:c>
      <x:c r="C21" s="17" t="n">
        <x:v>4</x:v>
      </x:c>
      <x:c r="D21" s="17" t="n">
        <x:v>0</x:v>
      </x:c>
      <x:c r="E21" s="17" t="str">
        <x:v>Yes</x:v>
      </x:c>
      <x:c r="F21" s="17" t="str">
        <x:v>Yes</x:v>
      </x:c>
      <x:c r="G21" s="17" t="str">
        <x:v>requirement</x:v>
      </x:c>
      <x:c r="H21" s="17" t="str">
        <x:v>S08</x:v>
      </x:c>
    </x:row>
    <x:row r="22">
      <x:c r="A22" s="17" t="str">
        <x:v>Rater 2</x:v>
      </x:c>
      <x:c r="B22" s="17" t="str">
        <x:v>D</x:v>
      </x:c>
      <x:c r="C22" s="17" t="n">
        <x:v>4</x:v>
      </x:c>
      <x:c r="D22" s="17" t="n">
        <x:v>1</x:v>
      </x:c>
      <x:c r="E22" s="17" t="str">
        <x:v>Yes</x:v>
      </x:c>
      <x:c r="F22" s="17" t="str">
        <x:v>Yes</x:v>
      </x:c>
      <x:c r="G22" s="17" t="str">
        <x:v>chatgpt</x:v>
      </x:c>
      <x:c r="H22" s="17" t="str">
        <x:v>S60</x:v>
      </x:c>
    </x:row>
    <x:row r="23">
      <x:c r="A23" s="17" t="str">
        <x:v>Rater 2</x:v>
      </x:c>
      <x:c r="B23" s="17" t="str">
        <x:v>D</x:v>
      </x:c>
      <x:c r="C23" s="17" t="n">
        <x:v>4</x:v>
      </x:c>
      <x:c r="D23" s="17" t="n">
        <x:v>2</x:v>
      </x:c>
      <x:c r="E23" s="17" t="str">
        <x:v>Yes</x:v>
      </x:c>
      <x:c r="F23" s="17" t="str">
        <x:v>Yes</x:v>
      </x:c>
      <x:c r="G23" s="17" t="str">
        <x:v>problem</x:v>
      </x:c>
      <x:c r="H23" s="17" t="str">
        <x:v>S08</x:v>
      </x:c>
    </x:row>
    <x:row r="24">
      <x:c r="A24" s="17" t="str">
        <x:v>Rater 2</x:v>
      </x:c>
      <x:c r="B24" s="17" t="str">
        <x:v>D</x:v>
      </x:c>
      <x:c r="C24" s="17" t="n">
        <x:v>4</x:v>
      </x:c>
      <x:c r="D24" s="17" t="n">
        <x:v>3</x:v>
      </x:c>
      <x:c r="E24" s="17" t="str">
        <x:v>Yes</x:v>
      </x:c>
      <x:c r="F24" s="17" t="str">
        <x:v>Yes</x:v>
      </x:c>
      <x:c r="G24" s="17" t="str">
        <x:v>requirement</x:v>
      </x:c>
      <x:c r="H24" s="17" t="str">
        <x:v>S08</x:v>
      </x:c>
    </x:row>
    <x:row r="25">
      <x:c r="A25" s="17" t="str">
        <x:v>Rater 2</x:v>
      </x:c>
      <x:c r="B25" s="17" t="str">
        <x:v>A</x:v>
      </x:c>
      <x:c r="C25" s="17" t="n">
        <x:v>5</x:v>
      </x:c>
      <x:c r="D25" s="17" t="n">
        <x:v>0</x:v>
      </x:c>
      <x:c r="E25" s="17" t="str">
        <x:v>Yes</x:v>
      </x:c>
      <x:c r="F25" s="17" t="str">
        <x:v>Yes</x:v>
      </x:c>
      <x:c r="G25" s="17" t="str">
        <x:v>requirement</x:v>
      </x:c>
      <x:c r="H25" s="17" t="str">
        <x:v>S08</x:v>
      </x:c>
    </x:row>
    <x:row r="26">
      <x:c r="A26" s="17" t="str">
        <x:v>Rater 2</x:v>
      </x:c>
      <x:c r="B26" s="17" t="str">
        <x:v>A</x:v>
      </x:c>
      <x:c r="C26" s="17" t="n">
        <x:v>5</x:v>
      </x:c>
      <x:c r="D26" s="17" t="n">
        <x:v>1</x:v>
      </x:c>
      <x:c r="E26" s="17" t="str">
        <x:v>Yes</x:v>
      </x:c>
      <x:c r="F26" s="17" t="str">
        <x:v>Yes</x:v>
      </x:c>
      <x:c r="G26" s="17" t="str">
        <x:v>tool</x:v>
      </x:c>
      <x:c r="H26" s="17" t="str">
        <x:v>S54</x:v>
      </x:c>
    </x:row>
    <x:row r="27">
      <x:c r="A27" s="17" t="str">
        <x:v>Rater 2</x:v>
      </x:c>
      <x:c r="B27" s="17" t="str">
        <x:v>A</x:v>
      </x:c>
      <x:c r="C27" s="17" t="n">
        <x:v>5</x:v>
      </x:c>
      <x:c r="D27" s="17" t="n">
        <x:v>2</x:v>
      </x:c>
      <x:c r="E27" s="17" t="str">
        <x:v>Yes</x:v>
      </x:c>
      <x:c r="F27" s="17" t="str">
        <x:v>Yes</x:v>
      </x:c>
      <x:c r="G27" s="17" t="str">
        <x:v>tool</x:v>
      </x:c>
      <x:c r="H27" s="17" t="str">
        <x:v>S08</x:v>
      </x:c>
    </x:row>
    <x:row r="28">
      <x:c r="A28" s="17" t="str">
        <x:v>Rater 2</x:v>
      </x:c>
      <x:c r="B28" s="17" t="str">
        <x:v>A</x:v>
      </x:c>
      <x:c r="C28" s="17" t="n">
        <x:v>5</x:v>
      </x:c>
      <x:c r="D28" s="17" t="n">
        <x:v>3</x:v>
      </x:c>
      <x:c r="E28" s="17" t="str">
        <x:v>Yes</x:v>
      </x:c>
      <x:c r="F28" s="17" t="str">
        <x:v>Yes</x:v>
      </x:c>
      <x:c r="G28" s="17" t="str">
        <x:v>chatgpt</x:v>
      </x:c>
      <x:c r="H28" s="17" t="str">
        <x:v>S08</x:v>
      </x:c>
    </x:row>
    <x:row r="29">
      <x:c r="A29" s="17" t="str">
        <x:v>Rater 2</x:v>
      </x:c>
      <x:c r="B29" s="17" t="str">
        <x:v>A</x:v>
      </x:c>
      <x:c r="C29" s="17" t="n">
        <x:v>5</x:v>
      </x:c>
      <x:c r="D29" s="17" t="n">
        <x:v>4</x:v>
      </x:c>
      <x:c r="E29" s="17" t="str">
        <x:v>Yes</x:v>
      </x:c>
      <x:c r="F29" s="17" t="str">
        <x:v>Yes</x:v>
      </x:c>
      <x:c r="G29" s="17" t="str">
        <x:v>hallucination</x:v>
      </x:c>
      <x:c r="H29" s="17" t="str">
        <x:v>S08</x:v>
      </x:c>
    </x:row>
    <x:row r="31">
      <x:c r="A31" s="59" t="str">
        <x:v>Important: intrusion accuracy is not scored because no ground-truth answer key was supplied with these files, and Rater 1 completed only 2 of 14 intrusion items.</x:v>
      </x:c>
      <x:c r="B31" s="59"/>
      <x:c r="C31" s="59"/>
      <x:c r="D31" s="59"/>
      <x:c r="E31" s="59"/>
      <x:c r="F31" s="59"/>
      <x:c r="G31" s="59"/>
      <x:c r="H31" s="59"/>
    </x:row>
  </x:sheetData>
  <x:mergeCells>
    <x:mergeCell ref="A31:H31"/>
  </x:mergeCells>
  <x:pageMargins left="0.7" right="0.7" top="0.75" bottom="0.75" header="0.3" footer="0.3"/>
</x:worksheet>
</file>