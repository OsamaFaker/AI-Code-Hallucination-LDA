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6cac5c41ff44fb" /></Relationships>
</file>

<file path=xl/workbook.xml><?xml version="1.0" encoding="utf-8"?>
<x:workbook xmlns:x="http://schemas.openxmlformats.org/spreadsheetml/2006/main">
  <x:sheets>
    <x:sheet xmlns:r="http://schemas.openxmlformats.org/officeDocument/2006/relationships" name="Executive Summary" sheetId="1" r:id="Rced5445b98ad4b66"/>
    <x:sheet xmlns:r="http://schemas.openxmlformats.org/officeDocument/2006/relationships" name="Topic Evaluation" sheetId="2" r:id="R8e0e357b53eb4428"/>
    <x:sheet xmlns:r="http://schemas.openxmlformats.org/officeDocument/2006/relationships" name="Rater Agreement" sheetId="3" r:id="R40c9ed45b6da4223"/>
    <x:sheet xmlns:r="http://schemas.openxmlformats.org/officeDocument/2006/relationships" name="Model Evaluation" sheetId="4" r:id="R8c21cff03829496f"/>
    <x:sheet xmlns:r="http://schemas.openxmlformats.org/officeDocument/2006/relationships" name="Rater 1 Raw" sheetId="5" r:id="R0d49d7dcd2eb49ed"/>
    <x:sheet xmlns:r="http://schemas.openxmlformats.org/officeDocument/2006/relationships" name="Rater 2 Raw" sheetId="6" r:id="R13acf96359494dc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0"/>
    <x:numFmt numFmtId="202" formatCode="0.0%"/>
  </x:numFmts>
  <x:fonts count="6">
    <x:font>
      <x:sz val="11"/>
      <x:name val="Carlito"/>
    </x:font>
    <x:font>
      <x:b/>
      <x:sz val="16"/>
      <x:color rgb="FFFFFFFF"/>
      <x:name val="Carlito"/>
    </x:font>
    <x:font>
      <x:b/>
      <x:sz val="11"/>
      <x:name val="Carlito"/>
    </x:font>
    <x:font>
      <x:b/>
      <x:sz val="12"/>
      <x:name val="Carlito"/>
    </x:font>
    <x:font>
      <x:b/>
      <x:sz val="11"/>
      <x:color rgb="FFFFFFFF"/>
      <x:name val="Carlito"/>
    </x:font>
    <x:font>
      <x:b/>
      <x:sz val="14"/>
      <x:color rgb="FFFFFFFF"/>
      <x:name val="Carlito"/>
    </x:font>
  </x:fonts>
  <x:fills count="10">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AD3"/>
      </x:patternFill>
    </x:fill>
    <x:fill>
      <x:patternFill patternType="solid">
        <x:fgColor rgb="FFFFF2CC"/>
      </x:patternFill>
    </x:fill>
    <x:fill>
      <x:patternFill patternType="solid">
        <x:fgColor rgb="FFE2F0D9"/>
      </x:patternFill>
    </x:fill>
    <x:fill>
      <x:patternFill patternType="solid">
        <x:fgColor rgb="FF5B9BD5"/>
      </x:patternFill>
    </x:fill>
    <x:fill>
      <x:patternFill patternType="solid">
        <x:fgColor rgb="FFA9D18E"/>
      </x:patternFill>
    </x:fill>
    <x:fill>
      <x:patternFill patternType="solid">
        <x:fgColor rgb="FFF4B183"/>
      </x:patternFill>
    </x:fill>
  </x:fills>
  <x:borders count="2">
    <x:border/>
    <x:border/>
  </x:borders>
  <x:cellStyleXfs count="1">
    <x:xf numFmtId="0" fontId="0" fillId="0" borderId="0"/>
  </x:cellStyleXfs>
  <x:cellXfs count="10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0" fillId="6" borderId="1" xfId="0" applyNumberFormat="1" applyFont="1" applyFill="1" applyBorder="1"/>
    <x:xf numFmtId="0" fontId="2" fillId="6" borderId="1"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horizontal="center" wrapText="1"/>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wrapText="1"/>
    </x:xf>
    <x:xf numFmtId="0" fontId="4" fillId="7" borderId="1" xfId="0" applyNumberFormat="1" applyFont="1" applyFill="1" applyBorder="1" applyAlignment="1">
      <x:alignment horizont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200" fontId="0" fillId="0" borderId="0" xfId="0" applyNumberFormat="1" applyFont="1" applyFill="1" applyBorder="1"/>
    <x:xf numFmtId="200" fontId="0" fillId="0" borderId="1"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0" fontId="2" fillId="5" borderId="0" xfId="0" applyNumberFormat="1" applyFont="1" applyFill="1" applyBorder="1"/>
    <x:xf numFmtId="0" fontId="2" fillId="5" borderId="1"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applyAlignment="1">
      <x:alignment horizontal="center"/>
    </x:xf>
    <x:xf numFmtId="0" fontId="2" fillId="4" borderId="0" xfId="0" applyNumberFormat="1" applyFont="1" applyFill="1" applyBorder="1"/>
    <x:xf numFmtId="0" fontId="2" fillId="4" borderId="1"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8" borderId="1" xfId="0" applyNumberFormat="1" applyFont="1" applyFill="1" applyBorder="1"/>
    <x:xf numFmtId="0" fontId="2" fillId="8" borderId="1" xfId="0" applyNumberFormat="1" applyFont="1" applyFill="1" applyBorder="1"/>
    <x:xf numFmtId="0" fontId="2" fillId="8" borderId="1" xfId="0" applyNumberFormat="1" applyFont="1" applyFill="1" applyBorder="1" applyAlignment="1">
      <x:alignment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0" fillId="9" borderId="1" xfId="0" applyNumberFormat="1" applyFont="1" applyFill="1" applyBorder="1"/>
    <x:xf numFmtId="0" fontId="2" fillId="9" borderId="1" xfId="0" applyNumberFormat="1" applyFont="1" applyFill="1" applyBorder="1"/>
    <x:xf numFmtId="0" fontId="2" fillId="9"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x:xf>
    <x:xf numFmtId="0" fontId="3" fillId="4" borderId="0" xfId="0" applyNumberFormat="1" applyFont="1" applyFill="1" applyBorder="1" applyAlignment="1">
      <x:alignment vertical="top"/>
    </x:xf>
    <x:xf numFmtId="0" fontId="3" fillId="5" borderId="0" xfId="0" applyNumberFormat="1" applyFont="1" applyFill="1" applyBorder="1" applyAlignment="1">
      <x:alignment vertical="top"/>
    </x:xf>
    <x:xf numFmtId="0" fontId="2" fillId="6" borderId="0" xfId="0" applyNumberFormat="1" applyFont="1" applyFill="1" applyBorder="1" applyAlignment="1">
      <x:alignment vertical="top"/>
    </x:xf>
    <x:xf numFmtId="0" fontId="4" fillId="7"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x:xf>
    <x:xf numFmtId="0" fontId="3" fillId="4" borderId="1" xfId="0" applyNumberFormat="1" applyFont="1" applyFill="1" applyBorder="1" applyAlignment="1">
      <x:alignment vertical="top"/>
    </x:xf>
    <x:xf numFmtId="0" fontId="3" fillId="5" borderId="1" xfId="0" applyNumberFormat="1" applyFont="1" applyFill="1" applyBorder="1" applyAlignment="1">
      <x:alignment vertical="top"/>
    </x:xf>
    <x:xf numFmtId="0" fontId="2" fillId="6" borderId="1" xfId="0" applyNumberFormat="1" applyFont="1" applyFill="1" applyBorder="1" applyAlignment="1">
      <x:alignment vertical="top"/>
    </x:xf>
    <x:xf numFmtId="0" fontId="4" fillId="7" borderId="1" xfId="0" applyNumberFormat="1" applyFont="1" applyFill="1" applyBorder="1" applyAlignment="1">
      <x:alignment horizontal="center" vertical="top" wrapText="1"/>
    </x:xf>
    <x:xf numFmtId="200" fontId="0" fillId="0" borderId="1"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top" wrapText="1"/>
    </x:xf>
    <x:xf numFmtId="0" fontId="5" fillId="2" borderId="0" xfId="0" applyNumberFormat="1" applyFont="1" applyFill="1" applyBorder="1" applyAlignment="1">
      <x:alignment horizontal="center" vertical="top"/>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2" fillId="5" borderId="0" xfId="0" applyNumberFormat="1" applyFont="1" applyFill="1" applyBorder="1" applyAlignment="1">
      <x:alignment vertical="top"/>
    </x:xf>
    <x:xf numFmtId="0" fontId="5" fillId="2" borderId="1" xfId="0" applyNumberFormat="1" applyFont="1" applyFill="1" applyBorder="1" applyAlignment="1">
      <x:alignment horizontal="center" vertical="top"/>
    </x:xf>
    <x:xf numFmtId="201" fontId="0" fillId="0" borderId="1"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0" fontId="2" fillId="5" borderId="1" xfId="0" applyNumberFormat="1" applyFont="1" applyFill="1" applyBorder="1" applyAlignment="1">
      <x:alignment vertical="top"/>
    </x:xf>
    <x:xf numFmtId="0" fontId="2" fillId="4"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09d1e789394ff2" /><Relationship Type="http://schemas.openxmlformats.org/officeDocument/2006/relationships/theme" Target="/xl/theme/theme1.xml" Id="R9e7aac17e5734063" /><Relationship Type="http://schemas.openxmlformats.org/officeDocument/2006/relationships/sharedStrings" Target="/xl/sharedStrings.xml" Id="R1d4b6a2cdd3d4a4d" /><Relationship Type="http://schemas.openxmlformats.org/officeDocument/2006/relationships/worksheet" Target="/xl/worksheets/sheet1.xml" Id="Rced5445b98ad4b66" /><Relationship Type="http://schemas.openxmlformats.org/officeDocument/2006/relationships/worksheet" Target="/xl/worksheets/sheet2.xml" Id="R8e0e357b53eb4428" /><Relationship Type="http://schemas.openxmlformats.org/officeDocument/2006/relationships/worksheet" Target="/xl/worksheets/sheet3.xml" Id="R40c9ed45b6da4223" /><Relationship Type="http://schemas.openxmlformats.org/officeDocument/2006/relationships/worksheet" Target="/xl/worksheets/sheet4.xml" Id="R8c21cff03829496f" /><Relationship Type="http://schemas.openxmlformats.org/officeDocument/2006/relationships/worksheet" Target="/xl/worksheets/sheet5.xml" Id="R0d49d7dcd2eb49ed" /><Relationship Type="http://schemas.openxmlformats.org/officeDocument/2006/relationships/worksheet" Target="/xl/worksheets/sheet6.xml" Id="R13acf96359494dcc" /></Relationships>
</file>

<file path=xl/drawings/_rels/drawing1.xml.rels>&#65279;<?xml version="1.0" encoding="utf-8"?><Relationships xmlns="http://schemas.openxmlformats.org/package/2006/relationships"><Relationship Type="http://schemas.openxmlformats.org/officeDocument/2006/relationships/chart" Target="/xl/drawings/charts/chart1.xml" Id="Rd6643c3d1e2b4c8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Human Validation Scores by Topic</a:t>
            </a:r>
          </a:p>
        </c:rich>
      </c:tx>
    </c:title>
    <c:plotArea>
      <c:barChart>
        <c:barDir val="col"/>
        <c:varyColors val="0"/>
        <c:ser>
          <c:idx val="0"/>
          <c:order val="0"/>
          <c:tx>
            <c:v>Reconciled label</c:v>
          </c:tx>
          <c:cat>
            <c:strRef>
              <c:f>'Executive Summary'!$A$24:$A$31</c:f>
              <c:strCache>
                <c:ptCount val="0"/>
              </c:strCache>
            </c:strRef>
          </c:cat>
          <c:val>
            <c:numRef>
              <c:f>'Executive Summary'!$B$24:$B$31</c:f>
              <c:numCache>
                <c:formatCode>General</c:formatCode>
                <c:ptCount val="0"/>
              </c:numCache>
            </c:numRef>
          </c:val>
        </c:ser>
        <c:ser>
          <c:idx val="1"/>
          <c:order val="1"/>
          <c:tx>
            <c:v>Mean coherence</c:v>
          </c:tx>
          <c:cat>
            <c:strRef>
              <c:f>'Executive Summary'!$A$24:$A$31</c:f>
              <c:strCache>
                <c:ptCount val="0"/>
              </c:strCache>
            </c:strRef>
          </c:cat>
          <c:val>
            <c:numRef>
              <c:f>'Executive Summary'!$C$24:$C$31</c:f>
              <c:numCache>
                <c:formatCode>0.00</c:formatCode>
                <c:ptCount val="0"/>
              </c:numCache>
            </c:numRef>
          </c:val>
        </c:ser>
        <c:ser>
          <c:idx val="2"/>
          <c:order val="2"/>
          <c:tx>
            <c:v>Mean interpretability</c:v>
          </c:tx>
          <c:cat>
            <c:strRef>
              <c:f>'Executive Summary'!$A$24:$A$31</c:f>
              <c:strCache>
                <c:ptCount val="0"/>
              </c:strCache>
            </c:strRef>
          </c:cat>
          <c:val>
            <c:numRef>
              <c:f>'Executive Summary'!$D$24:$D$31</c:f>
              <c:numCache>
                <c:formatCode>0.00</c:formatCode>
                <c:ptCount val="0"/>
              </c:numCache>
            </c:numRef>
          </c:val>
        </c:ser>
        <c:ser>
          <c:idx val="3"/>
          <c:order val="3"/>
          <c:tx>
            <c:v>Mean distinctiveness</c:v>
          </c:tx>
          <c:cat>
            <c:strRef>
              <c:f>'Executive Summary'!$A$24:$A$31</c:f>
              <c:strCache>
                <c:ptCount val="0"/>
              </c:strCache>
            </c:strRef>
          </c:cat>
          <c:val>
            <c:numRef>
              <c:f>'Executive Summary'!$E$24:$E$31</c:f>
              <c:numCache>
                <c:formatCode>0.00</c:formatCode>
                <c:ptCount val="0"/>
              </c:numCache>
            </c:numRef>
          </c:val>
        </c:ser>
        <c:ser>
          <c:idx val="4"/>
          <c:order val="4"/>
          <c:tx>
            <c:v>Overall mean</c:v>
          </c:tx>
          <c:cat>
            <c:strRef>
              <c:f>'Executive Summary'!$A$24:$A$31</c:f>
              <c:strCache>
                <c:ptCount val="0"/>
              </c:strCache>
            </c:strRef>
          </c:cat>
          <c:val>
            <c:numRef>
              <c:f>'Executive Summary'!$F$24:$F$31</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6643c3d1e2b4c8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2418f59c60b4470" /></Relationships>
</file>

<file path=xl/worksheets/sheet1.xml><?xml version="1.0" encoding="utf-8"?>
<x:worksheet xmlns:x="http://schemas.openxmlformats.org/spreadsheetml/2006/main">
  <x:sheetFormatPr defaultRowHeight="15"/>
  <x:cols>
    <x:col min="1" max="1" width="18" hidden="0" customWidth="1"/>
    <x:col min="2" max="2" width="34" hidden="0" customWidth="1"/>
    <x:col min="3" max="3" width="15" hidden="0" customWidth="1"/>
    <x:col min="4" max="4" width="15" hidden="0" customWidth="1"/>
    <x:col min="5" max="5" width="15" hidden="0" customWidth="1"/>
    <x:col min="6" max="6" width="15" hidden="0" customWidth="1"/>
    <x:col min="7" max="7" width="46" hidden="0" customWidth="1"/>
    <x:col min="8" max="8" width="16" hidden="0" customWidth="1"/>
  </x:cols>
  <x:sheetData>
    <x:row r="1" ht="28" customHeight="1">
      <x:c r="A1" s="80" t="str">
        <x:v>LDA Full-Text Human Validation — Consolidated Evaluation</x:v>
      </x:c>
      <x:c r="B1" s="80"/>
      <x:c r="C1" s="80"/>
      <x:c r="D1" s="80"/>
      <x:c r="E1" s="80"/>
      <x:c r="F1" s="80"/>
      <x:c r="G1" s="80"/>
      <x:c r="H1" s="80"/>
      <x:c r="I1" s="81"/>
      <x:c r="J1" s="81"/>
      <x:c r="K1" s="81"/>
      <x:c r="L1" s="81"/>
      <x:c r="M1" s="81"/>
      <x:c r="N1" s="81"/>
      <x:c r="O1" s="81"/>
      <x:c r="P1" s="81"/>
      <x:c r="Q1" s="81"/>
    </x:row>
    <x:row r="2">
      <x:c r="A2" s="81"/>
      <x:c r="B2" s="81"/>
      <x:c r="C2" s="81"/>
      <x:c r="D2" s="81"/>
      <x:c r="E2" s="81"/>
      <x:c r="F2" s="81"/>
      <x:c r="G2" s="81"/>
      <x:c r="H2" s="81"/>
      <x:c r="I2" s="81"/>
      <x:c r="J2" s="81"/>
      <x:c r="K2" s="81"/>
      <x:c r="L2" s="81"/>
      <x:c r="M2" s="81"/>
      <x:c r="N2" s="81"/>
      <x:c r="O2" s="81"/>
      <x:c r="P2" s="81"/>
      <x:c r="Q2" s="81"/>
    </x:row>
    <x:row r="3">
      <x:c r="A3" s="82" t="str">
        <x:v>Metric</x:v>
      </x:c>
      <x:c r="B3" s="82" t="str">
        <x:v>Result</x:v>
      </x:c>
      <x:c r="C3" s="81"/>
      <x:c r="D3" s="82" t="str">
        <x:v>Metric</x:v>
      </x:c>
      <x:c r="E3" s="82" t="str">
        <x:v>Result</x:v>
      </x:c>
      <x:c r="F3" s="81"/>
      <x:c r="G3" s="81"/>
      <x:c r="H3" s="81"/>
      <x:c r="I3" s="81"/>
      <x:c r="J3" s="81"/>
      <x:c r="K3" s="81"/>
      <x:c r="L3" s="81"/>
      <x:c r="M3" s="81"/>
      <x:c r="N3" s="81"/>
      <x:c r="O3" s="81"/>
      <x:c r="P3" s="81"/>
      <x:c r="Q3" s="81"/>
    </x:row>
    <x:row r="4">
      <x:c r="A4" s="81" t="str">
        <x:v>Number of topics</x:v>
      </x:c>
      <x:c r="B4" s="81" t="n">
        <x:v>8</x:v>
      </x:c>
      <x:c r="C4" s="81"/>
      <x:c r="D4" s="81" t="str">
        <x:v>Overall distinctiveness (combined mean)</x:v>
      </x:c>
      <x:c r="E4" s="81" t="n">
        <x:f>AVERAGE('Topic Evaluation'!L2:L9)</x:f>
        <x:v>3.875</x:v>
      </x:c>
      <x:c r="F4" s="81"/>
      <x:c r="G4" s="81"/>
      <x:c r="H4" s="81"/>
      <x:c r="I4" s="81"/>
      <x:c r="J4" s="81"/>
      <x:c r="K4" s="81"/>
      <x:c r="L4" s="81"/>
      <x:c r="M4" s="81"/>
      <x:c r="N4" s="81"/>
      <x:c r="O4" s="81"/>
      <x:c r="P4" s="81"/>
      <x:c r="Q4" s="81"/>
    </x:row>
    <x:row r="5">
      <x:c r="A5" s="81" t="str">
        <x:v>Number of raters</x:v>
      </x:c>
      <x:c r="B5" s="81" t="n">
        <x:v>2</x:v>
      </x:c>
      <x:c r="C5" s="81"/>
      <x:c r="D5" s="81" t="str">
        <x:v>Overall topic score (combined mean)</x:v>
      </x:c>
      <x:c r="E5" s="81" t="n">
        <x:f>AVERAGE('Topic Evaluation'!M2:M9)</x:f>
        <x:v>3.9791666666666665</x:v>
      </x:c>
      <x:c r="F5" s="81"/>
      <x:c r="G5" s="81"/>
      <x:c r="H5" s="81"/>
      <x:c r="I5" s="81"/>
      <x:c r="J5" s="81"/>
      <x:c r="K5" s="81"/>
      <x:c r="L5" s="81"/>
      <x:c r="M5" s="81"/>
      <x:c r="N5" s="81"/>
      <x:c r="O5" s="81"/>
      <x:c r="P5" s="81"/>
      <x:c r="Q5" s="81"/>
    </x:row>
    <x:row r="6">
      <x:c r="A6" s="81" t="str">
        <x:v>Overall coherence (combined mean)</x:v>
      </x:c>
      <x:c r="B6" s="81" t="n">
        <x:f>AVERAGE('Topic Evaluation'!J2:J9)</x:f>
        <x:v>4.0625</x:v>
      </x:c>
      <x:c r="C6" s="81"/>
      <x:c r="D6" s="81"/>
      <x:c r="E6" s="81"/>
      <x:c r="F6" s="81"/>
      <x:c r="G6" s="81"/>
      <x:c r="H6" s="81"/>
      <x:c r="I6" s="81"/>
      <x:c r="J6" s="81"/>
      <x:c r="K6" s="81"/>
      <x:c r="L6" s="81"/>
      <x:c r="M6" s="81"/>
      <x:c r="N6" s="81"/>
      <x:c r="O6" s="81"/>
      <x:c r="P6" s="81"/>
      <x:c r="Q6" s="81"/>
    </x:row>
    <x:row r="7">
      <x:c r="A7" s="81" t="str">
        <x:v>Overall interpretability (combined mean)</x:v>
      </x:c>
      <x:c r="B7" s="81" t="n">
        <x:f>AVERAGE('Topic Evaluation'!K2:K9)</x:f>
        <x:v>4</x:v>
      </x:c>
      <x:c r="C7" s="81"/>
      <x:c r="D7" s="81"/>
      <x:c r="E7" s="81"/>
      <x:c r="F7" s="81"/>
      <x:c r="G7" s="81"/>
      <x:c r="H7" s="81"/>
      <x:c r="I7" s="81"/>
      <x:c r="J7" s="81"/>
      <x:c r="K7" s="81"/>
      <x:c r="L7" s="81"/>
      <x:c r="M7" s="81"/>
      <x:c r="N7" s="81"/>
      <x:c r="O7" s="81"/>
      <x:c r="P7" s="81"/>
      <x:c r="Q7" s="81"/>
    </x:row>
    <x:row r="8">
      <x:c r="A8" s="81"/>
      <x:c r="B8" s="81"/>
      <x:c r="C8" s="81"/>
      <x:c r="D8" s="81"/>
      <x:c r="E8" s="81"/>
      <x:c r="F8" s="81"/>
      <x:c r="G8" s="81"/>
      <x:c r="H8" s="81"/>
      <x:c r="I8" s="81"/>
      <x:c r="J8" s="81"/>
      <x:c r="K8" s="81"/>
      <x:c r="L8" s="81"/>
      <x:c r="M8" s="81"/>
      <x:c r="N8" s="81"/>
      <x:c r="O8" s="81"/>
      <x:c r="P8" s="81"/>
      <x:c r="Q8" s="81"/>
    </x:row>
    <x:row r="9">
      <x:c r="A9" s="83" t="str">
        <x:v>Overall Evaluation</x:v>
      </x:c>
      <x:c r="B9" s="83"/>
      <x:c r="C9" s="83"/>
      <x:c r="D9" s="83"/>
      <x:c r="E9" s="83"/>
      <x:c r="F9" s="83"/>
      <x:c r="G9" s="83"/>
      <x:c r="H9" s="83"/>
      <x:c r="I9" s="81"/>
      <x:c r="J9" s="81"/>
      <x:c r="K9" s="81"/>
      <x:c r="L9" s="81"/>
      <x:c r="M9" s="81"/>
      <x:c r="N9" s="81"/>
      <x:c r="O9" s="81"/>
      <x:c r="P9" s="81"/>
      <x:c r="Q9" s="81"/>
    </x:row>
    <x:row r="10">
      <x:c r="A10" s="21" t="str">
        <x:v>The human validation provides moderate-to-strong support for the interpretability of the eight-topic full-text solution, but weaker support for sharp topic distinctiveness. Across both raters, mean scores are approximately 4/5 for coherence and interpretability, while distinctiveness is slightly lower. The clearest topic is Topic 5 (programming education), followed by Topics 0 and 3. Topics 2, 4, 6, and 7 show more conceptual overlap or heterogeneity. The two raters independently proposed semantically similar labels for nearly all topics, indicating that the broad concepts are recognizable even where fine-grained boundaries are less clear. The model-level comments from both raters also identify overlap among security/quality topics and practitioner-experience topics. Therefore, the validation should be reported as partial human support for coherent broad themes, with limited distinctiveness among several fine-grained topics—not as a failed validation and not as proof of eight perfectly discrete conceptual categories.</x:v>
      </x:c>
      <x:c r="B10" s="21"/>
      <x:c r="C10" s="21"/>
      <x:c r="D10" s="21"/>
      <x:c r="E10" s="21"/>
      <x:c r="F10" s="21"/>
      <x:c r="G10" s="21"/>
      <x:c r="H10" s="21"/>
      <x:c r="I10" s="81"/>
      <x:c r="J10" s="81"/>
      <x:c r="K10" s="81"/>
      <x:c r="L10" s="81"/>
      <x:c r="M10" s="81"/>
      <x:c r="N10" s="81"/>
      <x:c r="O10" s="81"/>
      <x:c r="P10" s="81"/>
      <x:c r="Q10" s="81"/>
    </x:row>
    <x:row r="11">
      <x:c r="A11" s="21"/>
      <x:c r="B11" s="21"/>
      <x:c r="C11" s="21"/>
      <x:c r="D11" s="21"/>
      <x:c r="E11" s="21"/>
      <x:c r="F11" s="21"/>
      <x:c r="G11" s="21"/>
      <x:c r="H11" s="21"/>
      <x:c r="I11" s="81"/>
      <x:c r="J11" s="81"/>
      <x:c r="K11" s="81"/>
      <x:c r="L11" s="81"/>
      <x:c r="M11" s="81"/>
      <x:c r="N11" s="81"/>
      <x:c r="O11" s="81"/>
      <x:c r="P11" s="81"/>
      <x:c r="Q11" s="81"/>
    </x:row>
    <x:row r="12">
      <x:c r="A12" s="21"/>
      <x:c r="B12" s="21"/>
      <x:c r="C12" s="21"/>
      <x:c r="D12" s="21"/>
      <x:c r="E12" s="21"/>
      <x:c r="F12" s="21"/>
      <x:c r="G12" s="21"/>
      <x:c r="H12" s="21"/>
      <x:c r="I12" s="81"/>
      <x:c r="J12" s="81"/>
      <x:c r="K12" s="81"/>
      <x:c r="L12" s="81"/>
      <x:c r="M12" s="81"/>
      <x:c r="N12" s="81"/>
      <x:c r="O12" s="81"/>
      <x:c r="P12" s="81"/>
      <x:c r="Q12" s="81"/>
    </x:row>
    <x:row r="13">
      <x:c r="A13" s="21"/>
      <x:c r="B13" s="21"/>
      <x:c r="C13" s="21"/>
      <x:c r="D13" s="21"/>
      <x:c r="E13" s="21"/>
      <x:c r="F13" s="21"/>
      <x:c r="G13" s="21"/>
      <x:c r="H13" s="21"/>
      <x:c r="I13" s="81"/>
      <x:c r="J13" s="81"/>
      <x:c r="K13" s="81"/>
      <x:c r="L13" s="81"/>
      <x:c r="M13" s="81"/>
      <x:c r="N13" s="81"/>
      <x:c r="O13" s="81"/>
      <x:c r="P13" s="81"/>
      <x:c r="Q13" s="81"/>
    </x:row>
    <x:row r="14">
      <x:c r="A14" s="21"/>
      <x:c r="B14" s="21"/>
      <x:c r="C14" s="21"/>
      <x:c r="D14" s="21"/>
      <x:c r="E14" s="21"/>
      <x:c r="F14" s="21"/>
      <x:c r="G14" s="21"/>
      <x:c r="H14" s="21"/>
      <x:c r="I14" s="81"/>
      <x:c r="J14" s="81"/>
      <x:c r="K14" s="81"/>
      <x:c r="L14" s="81"/>
      <x:c r="M14" s="81"/>
      <x:c r="N14" s="81"/>
      <x:c r="O14" s="81"/>
      <x:c r="P14" s="81"/>
      <x:c r="Q14" s="81"/>
    </x:row>
    <x:row r="15">
      <x:c r="A15" s="81"/>
      <x:c r="B15" s="81"/>
      <x:c r="C15" s="81"/>
      <x:c r="D15" s="81"/>
      <x:c r="E15" s="81"/>
      <x:c r="F15" s="81"/>
      <x:c r="G15" s="81"/>
      <x:c r="H15" s="81"/>
      <x:c r="I15" s="81"/>
      <x:c r="J15" s="81"/>
      <x:c r="K15" s="81"/>
      <x:c r="L15" s="81"/>
      <x:c r="M15" s="81"/>
      <x:c r="N15" s="81"/>
      <x:c r="O15" s="81"/>
      <x:c r="P15" s="81"/>
      <x:c r="Q15" s="81"/>
    </x:row>
    <x:row r="16">
      <x:c r="A16" s="84" t="str">
        <x:v>Recommended Manuscript Interpretation</x:v>
      </x:c>
      <x:c r="B16" s="84"/>
      <x:c r="C16" s="84"/>
      <x:c r="D16" s="84"/>
      <x:c r="E16" s="84"/>
      <x:c r="F16" s="84"/>
      <x:c r="G16" s="84"/>
      <x:c r="H16" s="84"/>
      <x:c r="I16" s="81"/>
      <x:c r="J16" s="81"/>
      <x:c r="K16" s="81"/>
      <x:c r="L16" s="81"/>
      <x:c r="M16" s="81"/>
      <x:c r="N16" s="81"/>
      <x:c r="O16" s="81"/>
      <x:c r="P16" s="81"/>
      <x:c r="Q16" s="81"/>
    </x:row>
    <x:row r="17">
      <x:c r="A17" s="21" t="str">
        <x:v>Independent human evaluation indicated that the full-text topics were generally coherent and interpretable, although several fine-grained topics showed limited distinctiveness and conceptual overlap. The strongest agreement concerned programming education and hallucination detection/mitigation, whereas security/quality and practitioner-experience topics were more difficult to separate cleanly. We therefore treat the full-text solution as a representation-sensitivity analysis that exposes additional thematic granularity, while avoiding the claim that all eight topics constitute sharply discrete conceptual categories.</x:v>
      </x:c>
      <x:c r="B17" s="21"/>
      <x:c r="C17" s="21"/>
      <x:c r="D17" s="21"/>
      <x:c r="E17" s="21"/>
      <x:c r="F17" s="21"/>
      <x:c r="G17" s="21"/>
      <x:c r="H17" s="21"/>
      <x:c r="I17" s="81"/>
      <x:c r="J17" s="81"/>
      <x:c r="K17" s="81"/>
      <x:c r="L17" s="81"/>
      <x:c r="M17" s="81"/>
      <x:c r="N17" s="81"/>
      <x:c r="O17" s="81"/>
      <x:c r="P17" s="81"/>
      <x:c r="Q17" s="81"/>
    </x:row>
    <x:row r="18">
      <x:c r="A18" s="21"/>
      <x:c r="B18" s="21"/>
      <x:c r="C18" s="21"/>
      <x:c r="D18" s="21"/>
      <x:c r="E18" s="21"/>
      <x:c r="F18" s="21"/>
      <x:c r="G18" s="21"/>
      <x:c r="H18" s="21"/>
      <x:c r="I18" s="81"/>
      <x:c r="J18" s="81"/>
      <x:c r="K18" s="81"/>
      <x:c r="L18" s="81"/>
      <x:c r="M18" s="81"/>
      <x:c r="N18" s="81"/>
      <x:c r="O18" s="81"/>
      <x:c r="P18" s="81"/>
      <x:c r="Q18" s="81"/>
    </x:row>
    <x:row r="19">
      <x:c r="A19" s="21"/>
      <x:c r="B19" s="21"/>
      <x:c r="C19" s="21"/>
      <x:c r="D19" s="21"/>
      <x:c r="E19" s="21"/>
      <x:c r="F19" s="21"/>
      <x:c r="G19" s="21"/>
      <x:c r="H19" s="21"/>
      <x:c r="I19" s="81"/>
      <x:c r="J19" s="81"/>
      <x:c r="K19" s="81"/>
      <x:c r="L19" s="81"/>
      <x:c r="M19" s="81"/>
      <x:c r="N19" s="81"/>
      <x:c r="O19" s="81"/>
      <x:c r="P19" s="81"/>
      <x:c r="Q19" s="81"/>
    </x:row>
    <x:row r="20">
      <x:c r="A20" s="21"/>
      <x:c r="B20" s="21"/>
      <x:c r="C20" s="21"/>
      <x:c r="D20" s="21"/>
      <x:c r="E20" s="21"/>
      <x:c r="F20" s="21"/>
      <x:c r="G20" s="21"/>
      <x:c r="H20" s="21"/>
      <x:c r="I20" s="81"/>
      <x:c r="J20" s="81"/>
      <x:c r="K20" s="81"/>
      <x:c r="L20" s="81"/>
      <x:c r="M20" s="81"/>
      <x:c r="N20" s="81"/>
      <x:c r="O20" s="81"/>
      <x:c r="P20" s="81"/>
      <x:c r="Q20" s="81"/>
    </x:row>
    <x:row r="21">
      <x:c r="A21" s="81"/>
      <x:c r="B21" s="81"/>
      <x:c r="C21" s="81"/>
      <x:c r="D21" s="81"/>
      <x:c r="E21" s="81"/>
      <x:c r="F21" s="81"/>
      <x:c r="G21" s="81"/>
      <x:c r="H21" s="81"/>
      <x:c r="I21" s="81"/>
      <x:c r="J21" s="81"/>
      <x:c r="K21" s="81"/>
      <x:c r="L21" s="81"/>
      <x:c r="M21" s="81"/>
      <x:c r="N21" s="81"/>
      <x:c r="O21" s="81"/>
      <x:c r="P21" s="81"/>
      <x:c r="Q21" s="81"/>
    </x:row>
    <x:row r="22">
      <x:c r="A22" s="85" t="str">
        <x:v>Topic-Level Assessment</x:v>
      </x:c>
      <x:c r="B22" s="85"/>
      <x:c r="C22" s="85"/>
      <x:c r="D22" s="85"/>
      <x:c r="E22" s="85"/>
      <x:c r="F22" s="85"/>
      <x:c r="G22" s="85"/>
      <x:c r="H22" s="85"/>
      <x:c r="I22" s="81"/>
      <x:c r="J22" s="81"/>
      <x:c r="K22" s="81"/>
      <x:c r="L22" s="81"/>
      <x:c r="M22" s="81"/>
      <x:c r="N22" s="81"/>
      <x:c r="O22" s="81"/>
      <x:c r="P22" s="81"/>
      <x:c r="Q22" s="81"/>
    </x:row>
    <x:row r="23">
      <x:c r="A23" s="86" t="str">
        <x:v>Topic</x:v>
      </x:c>
      <x:c r="B23" s="86" t="str">
        <x:v>Reconciled label</x:v>
      </x:c>
      <x:c r="C23" s="86" t="str">
        <x:v>Mean coherence</x:v>
      </x:c>
      <x:c r="D23" s="86" t="str">
        <x:v>Mean interpretability</x:v>
      </x:c>
      <x:c r="E23" s="86" t="str">
        <x:v>Mean distinctiveness</x:v>
      </x:c>
      <x:c r="F23" s="86" t="str">
        <x:v>Overall mean</x:v>
      </x:c>
      <x:c r="G23" s="86" t="str">
        <x:v>Assessment</x:v>
      </x:c>
      <x:c r="H23" s="86" t="str">
        <x:v>Rater-2 validity</x:v>
      </x:c>
      <x:c r="I23" s="81"/>
      <x:c r="J23" s="81"/>
      <x:c r="K23" s="81"/>
      <x:c r="L23" s="81"/>
      <x:c r="M23" s="81"/>
      <x:c r="N23" s="81"/>
      <x:c r="O23" s="81"/>
      <x:c r="P23" s="81"/>
      <x:c r="Q23" s="81"/>
    </x:row>
    <x:row r="24">
      <x:c r="A24" s="21" t="n">
        <x:v>0</x:v>
      </x:c>
      <x:c r="B24" s="21" t="str">
        <x:v>Developer Trust and Experience with AI Coding Assistants</x:v>
      </x:c>
      <x:c r="C24" s="87" t="n">
        <x:f>'Topic Evaluation'!J2</x:f>
        <x:v>4.5</x:v>
      </x:c>
      <x:c r="D24" s="87" t="n">
        <x:f>'Topic Evaluation'!K2</x:f>
        <x:v>4.5</x:v>
      </x:c>
      <x:c r="E24" s="87" t="n">
        <x:f>'Topic Evaluation'!L2</x:f>
        <x:v>4</x:v>
      </x:c>
      <x:c r="F24" s="87" t="n">
        <x:f>'Topic Evaluation'!M2</x:f>
        <x:v>4.333333333333333</x:v>
      </x:c>
      <x:c r="G24" s="21" t="str">
        <x:v>Strongly interpretable; some overlap with practitioner-experience topics.</x:v>
      </x:c>
      <x:c r="H24" s="21" t="str">
        <x:v>Valid</x:v>
      </x:c>
      <x:c r="I24" s="81"/>
      <x:c r="J24" s="81"/>
      <x:c r="K24" s="81"/>
      <x:c r="L24" s="81"/>
      <x:c r="M24" s="81"/>
      <x:c r="N24" s="81"/>
      <x:c r="O24" s="81"/>
      <x:c r="P24" s="81"/>
      <x:c r="Q24" s="81"/>
    </x:row>
    <x:row r="25">
      <x:c r="A25" s="21" t="n">
        <x:v>1</x:v>
      </x:c>
      <x:c r="B25" s="21" t="str">
        <x:v>Package Hallucination and Supply-Chain Security Risks</x:v>
      </x:c>
      <x:c r="C25" s="87" t="n">
        <x:f>'Topic Evaluation'!J3</x:f>
        <x:v>4</x:v>
      </x:c>
      <x:c r="D25" s="87" t="n">
        <x:f>'Topic Evaluation'!K3</x:f>
        <x:v>4</x:v>
      </x:c>
      <x:c r="E25" s="87" t="n">
        <x:f>'Topic Evaluation'!L3</x:f>
        <x:v>4.5</x:v>
      </x:c>
      <x:c r="F25" s="87" t="n">
        <x:f>'Topic Evaluation'!M3</x:f>
        <x:v>4.166666666666667</x:v>
      </x:c>
      <x:c r="G25" s="21" t="str">
        <x:v>Strong term-level identity; document support contains some noise.</x:v>
      </x:c>
      <x:c r="H25" s="21" t="str">
        <x:v>Borderline</x:v>
      </x:c>
      <x:c r="I25" s="81"/>
      <x:c r="J25" s="81"/>
      <x:c r="K25" s="81"/>
      <x:c r="L25" s="81"/>
      <x:c r="M25" s="81"/>
      <x:c r="N25" s="81"/>
      <x:c r="O25" s="81"/>
      <x:c r="P25" s="81"/>
      <x:c r="Q25" s="81"/>
    </x:row>
    <x:row r="26">
      <x:c r="A26" s="21" t="n">
        <x:v>2</x:v>
      </x:c>
      <x:c r="B26" s="21" t="str">
        <x:v>Security and Safety-Critical Code Generation Evaluation</x:v>
      </x:c>
      <x:c r="C26" s="87" t="n">
        <x:f>'Topic Evaluation'!J4</x:f>
        <x:v>3.5</x:v>
      </x:c>
      <x:c r="D26" s="87" t="n">
        <x:f>'Topic Evaluation'!K4</x:f>
        <x:v>3.5</x:v>
      </x:c>
      <x:c r="E26" s="87" t="n">
        <x:f>'Topic Evaluation'!L4</x:f>
        <x:v>4</x:v>
      </x:c>
      <x:c r="F26" s="87" t="n">
        <x:f>'Topic Evaluation'!M4</x:f>
        <x:v>3.6666666666666665</x:v>
      </x:c>
      <x:c r="G26" s="21" t="str">
        <x:v>Moderate support; appears to merge security/safety and class-level benchmarking.</x:v>
      </x:c>
      <x:c r="H26" s="21" t="str">
        <x:v>Borderline</x:v>
      </x:c>
      <x:c r="I26" s="81"/>
      <x:c r="J26" s="81"/>
      <x:c r="K26" s="81"/>
      <x:c r="L26" s="81"/>
      <x:c r="M26" s="81"/>
      <x:c r="N26" s="81"/>
      <x:c r="O26" s="81"/>
      <x:c r="P26" s="81"/>
      <x:c r="Q26" s="81"/>
    </x:row>
    <x:row r="27">
      <x:c r="A27" s="21" t="n">
        <x:v>3</x:v>
      </x:c>
      <x:c r="B27" s="21" t="str">
        <x:v>Code Hallucination Detection and Mitigation Methods</x:v>
      </x:c>
      <x:c r="C27" s="87" t="n">
        <x:f>'Topic Evaluation'!J5</x:f>
        <x:v>4.5</x:v>
      </x:c>
      <x:c r="D27" s="87" t="n">
        <x:f>'Topic Evaluation'!K5</x:f>
        <x:v>4</x:v>
      </x:c>
      <x:c r="E27" s="87" t="n">
        <x:f>'Topic Evaluation'!L5</x:f>
        <x:v>4.5</x:v>
      </x:c>
      <x:c r="F27" s="87" t="n">
        <x:f>'Topic Evaluation'!M5</x:f>
        <x:v>4.333333333333333</x:v>
      </x:c>
      <x:c r="G27" s="21" t="str">
        <x:v>Strongly interpretable and relatively distinct mitigation/verification theme.</x:v>
      </x:c>
      <x:c r="H27" s="21" t="str">
        <x:v>Valid</x:v>
      </x:c>
      <x:c r="I27" s="81"/>
      <x:c r="J27" s="81"/>
      <x:c r="K27" s="81"/>
      <x:c r="L27" s="81"/>
      <x:c r="M27" s="81"/>
      <x:c r="N27" s="81"/>
      <x:c r="O27" s="81"/>
      <x:c r="P27" s="81"/>
      <x:c r="Q27" s="81"/>
    </x:row>
    <x:row r="28">
      <x:c r="A28" s="21" t="n">
        <x:v>4</x:v>
      </x:c>
      <x:c r="B28" s="21" t="str">
        <x:v>LLM Coding Proficiency and Programming Tasks</x:v>
      </x:c>
      <x:c r="C28" s="87" t="n">
        <x:f>'Topic Evaluation'!J6</x:f>
        <x:v>3.5</x:v>
      </x:c>
      <x:c r="D28" s="87" t="n">
        <x:f>'Topic Evaluation'!K6</x:f>
        <x:v>3.5</x:v>
      </x:c>
      <x:c r="E28" s="87" t="n">
        <x:f>'Topic Evaluation'!L6</x:f>
        <x:v>2.5</x:v>
      </x:c>
      <x:c r="F28" s="87" t="n">
        <x:f>'Topic Evaluation'!M6</x:f>
        <x:v>3.1666666666666665</x:v>
      </x:c>
      <x:c r="G28" s="21" t="str">
        <x:v>Weakest topic; broad/heterogeneous and overlaps education/quality topics.</x:v>
      </x:c>
      <x:c r="H28" s="21" t="str">
        <x:v>Borderline</x:v>
      </x:c>
      <x:c r="I28" s="81"/>
      <x:c r="J28" s="81"/>
      <x:c r="K28" s="81"/>
      <x:c r="L28" s="81"/>
      <x:c r="M28" s="81"/>
      <x:c r="N28" s="81"/>
      <x:c r="O28" s="81"/>
      <x:c r="P28" s="81"/>
      <x:c r="Q28" s="81"/>
    </x:row>
    <x:row r="29">
      <x:c r="A29" s="21" t="n">
        <x:v>5</x:v>
      </x:c>
      <x:c r="B29" s="21" t="str">
        <x:v>AI in Programming Education, Feedback, and Assessment</x:v>
      </x:c>
      <x:c r="C29" s="87" t="n">
        <x:f>'Topic Evaluation'!J7</x:f>
        <x:v>5</x:v>
      </x:c>
      <x:c r="D29" s="87" t="n">
        <x:f>'Topic Evaluation'!K7</x:f>
        <x:v>5</x:v>
      </x:c>
      <x:c r="E29" s="87" t="n">
        <x:f>'Topic Evaluation'!L7</x:f>
        <x:v>4.5</x:v>
      </x:c>
      <x:c r="F29" s="87" t="n">
        <x:f>'Topic Evaluation'!M7</x:f>
        <x:v>4.833333333333333</x:v>
      </x:c>
      <x:c r="G29" s="21" t="str">
        <x:v>Strongest topic; highly coherent and consistently identified by both raters.</x:v>
      </x:c>
      <x:c r="H29" s="21" t="str">
        <x:v>Valid</x:v>
      </x:c>
      <x:c r="I29" s="81"/>
      <x:c r="J29" s="81"/>
      <x:c r="K29" s="81"/>
      <x:c r="L29" s="81"/>
      <x:c r="M29" s="81"/>
      <x:c r="N29" s="81"/>
      <x:c r="O29" s="81"/>
      <x:c r="P29" s="81"/>
      <x:c r="Q29" s="81"/>
    </x:row>
    <x:row r="30">
      <x:c r="A30" s="21" t="n">
        <x:v>6</x:v>
      </x:c>
      <x:c r="B30" s="21" t="str">
        <x:v>Code Quality, Vulnerability, Complexity, and Non-Determinism</x:v>
      </x:c>
      <x:c r="C30" s="87" t="n">
        <x:f>'Topic Evaluation'!J8</x:f>
        <x:v>4</x:v>
      </x:c>
      <x:c r="D30" s="87" t="n">
        <x:f>'Topic Evaluation'!K8</x:f>
        <x:v>4</x:v>
      </x:c>
      <x:c r="E30" s="87" t="n">
        <x:f>'Topic Evaluation'!L8</x:f>
        <x:v>3.5</x:v>
      </x:c>
      <x:c r="F30" s="87" t="n">
        <x:f>'Topic Evaluation'!M8</x:f>
        <x:v>3.8333333333333335</x:v>
      </x:c>
      <x:c r="G30" s="21" t="str">
        <x:v>Moderate support; quality/security concepts overlap with Topic 2.</x:v>
      </x:c>
      <x:c r="H30" s="21" t="str">
        <x:v>Borderline</x:v>
      </x:c>
      <x:c r="I30" s="81"/>
      <x:c r="J30" s="81"/>
      <x:c r="K30" s="81"/>
      <x:c r="L30" s="81"/>
      <x:c r="M30" s="81"/>
      <x:c r="N30" s="81"/>
      <x:c r="O30" s="81"/>
      <x:c r="P30" s="81"/>
      <x:c r="Q30" s="81"/>
    </x:row>
    <x:row r="31">
      <x:c r="A31" s="21" t="n">
        <x:v>7</x:v>
      </x:c>
      <x:c r="B31" s="21" t="str">
        <x:v>Bug Patterns, Taxonomies, and Practitioner-Reported Issues</x:v>
      </x:c>
      <x:c r="C31" s="87" t="n">
        <x:f>'Topic Evaluation'!J9</x:f>
        <x:v>3.5</x:v>
      </x:c>
      <x:c r="D31" s="87" t="n">
        <x:f>'Topic Evaluation'!K9</x:f>
        <x:v>3.5</x:v>
      </x:c>
      <x:c r="E31" s="87" t="n">
        <x:f>'Topic Evaluation'!L9</x:f>
        <x:v>3.5</x:v>
      </x:c>
      <x:c r="F31" s="87" t="n">
        <x:f>'Topic Evaluation'!M9</x:f>
        <x:v>3.5</x:v>
      </x:c>
      <x:c r="G31" s="21" t="str">
        <x:v>Moderate/borderline; combines bug taxonomy with practitioner/interactive fixing content.</x:v>
      </x:c>
      <x:c r="H31" s="21" t="str">
        <x:v>Borderline</x:v>
      </x:c>
      <x:c r="I31" s="81"/>
      <x:c r="J31" s="81"/>
      <x:c r="K31" s="81"/>
      <x:c r="L31" s="81"/>
      <x:c r="M31" s="81"/>
      <x:c r="N31" s="81"/>
      <x:c r="O31" s="81"/>
      <x:c r="P31" s="81"/>
      <x:c r="Q31" s="81"/>
    </x:row>
    <x:row r="32">
      <x:c r="A32" s="81"/>
      <x:c r="B32" s="81"/>
      <x:c r="C32" s="81"/>
      <x:c r="D32" s="81"/>
      <x:c r="E32" s="81"/>
      <x:c r="F32" s="81"/>
      <x:c r="G32" s="81"/>
      <x:c r="H32" s="81"/>
      <x:c r="I32" s="81"/>
      <x:c r="J32" s="81"/>
      <x:c r="K32" s="81"/>
      <x:c r="L32" s="81"/>
      <x:c r="M32" s="81"/>
      <x:c r="N32" s="81"/>
      <x:c r="O32" s="81"/>
      <x:c r="P32" s="81"/>
      <x:c r="Q32" s="81"/>
    </x:row>
    <x:row r="33">
      <x:c r="A33" s="81"/>
      <x:c r="B33" s="81"/>
      <x:c r="C33" s="81"/>
      <x:c r="D33" s="81"/>
      <x:c r="E33" s="81"/>
      <x:c r="F33" s="81"/>
      <x:c r="G33" s="81"/>
      <x:c r="H33" s="81"/>
      <x:c r="I33" s="81"/>
      <x:c r="J33" s="81"/>
      <x:c r="K33" s="81"/>
      <x:c r="L33" s="81"/>
      <x:c r="M33" s="81"/>
      <x:c r="N33" s="81"/>
      <x:c r="O33" s="81"/>
      <x:c r="P33" s="81"/>
      <x:c r="Q33" s="81"/>
    </x:row>
    <x:row r="34">
      <x:c r="A34" s="81"/>
      <x:c r="B34" s="81"/>
      <x:c r="C34" s="81"/>
      <x:c r="D34" s="81"/>
      <x:c r="E34" s="81"/>
      <x:c r="F34" s="81"/>
      <x:c r="G34" s="81"/>
      <x:c r="H34" s="81"/>
      <x:c r="I34" s="81"/>
      <x:c r="J34" s="81"/>
      <x:c r="K34" s="81"/>
      <x:c r="L34" s="81"/>
      <x:c r="M34" s="81"/>
      <x:c r="N34" s="81"/>
      <x:c r="O34" s="81"/>
      <x:c r="P34" s="81"/>
      <x:c r="Q34" s="81"/>
    </x:row>
    <x:row r="35">
      <x:c r="A35" s="81"/>
      <x:c r="B35" s="81"/>
      <x:c r="C35" s="81"/>
      <x:c r="D35" s="81"/>
      <x:c r="E35" s="81"/>
      <x:c r="F35" s="81"/>
      <x:c r="G35" s="81"/>
      <x:c r="H35" s="81"/>
      <x:c r="I35" s="81"/>
      <x:c r="J35" s="81"/>
      <x:c r="K35" s="81"/>
      <x:c r="L35" s="81"/>
      <x:c r="M35" s="81"/>
      <x:c r="N35" s="81"/>
      <x:c r="O35" s="81"/>
      <x:c r="P35" s="81"/>
      <x:c r="Q35" s="81"/>
    </x:row>
    <x:row r="36">
      <x:c r="A36" s="81"/>
      <x:c r="B36" s="81"/>
      <x:c r="C36" s="81"/>
      <x:c r="D36" s="81"/>
      <x:c r="E36" s="81"/>
      <x:c r="F36" s="81"/>
      <x:c r="G36" s="81"/>
      <x:c r="H36" s="81"/>
      <x:c r="I36" s="81"/>
      <x:c r="J36" s="81"/>
      <x:c r="K36" s="81"/>
      <x:c r="L36" s="81"/>
      <x:c r="M36" s="81"/>
      <x:c r="N36" s="81"/>
      <x:c r="O36" s="81"/>
      <x:c r="P36" s="81"/>
      <x:c r="Q36" s="81"/>
    </x:row>
    <x:row r="37">
      <x:c r="A37" s="81"/>
      <x:c r="B37" s="81"/>
      <x:c r="C37" s="81"/>
      <x:c r="D37" s="81"/>
      <x:c r="E37" s="81"/>
      <x:c r="F37" s="81"/>
      <x:c r="G37" s="81"/>
      <x:c r="H37" s="81"/>
      <x:c r="I37" s="81"/>
      <x:c r="J37" s="81"/>
      <x:c r="K37" s="81"/>
      <x:c r="L37" s="81"/>
      <x:c r="M37" s="81"/>
      <x:c r="N37" s="81"/>
      <x:c r="O37" s="81"/>
      <x:c r="P37" s="81"/>
      <x:c r="Q37" s="81"/>
    </x:row>
    <x:row r="38">
      <x:c r="A38" s="81"/>
      <x:c r="B38" s="81"/>
      <x:c r="C38" s="81"/>
      <x:c r="D38" s="81"/>
      <x:c r="E38" s="81"/>
      <x:c r="F38" s="81"/>
      <x:c r="G38" s="81"/>
      <x:c r="H38" s="81"/>
      <x:c r="I38" s="81"/>
      <x:c r="J38" s="81"/>
      <x:c r="K38" s="81"/>
      <x:c r="L38" s="81"/>
      <x:c r="M38" s="81"/>
      <x:c r="N38" s="81"/>
      <x:c r="O38" s="81"/>
      <x:c r="P38" s="81"/>
      <x:c r="Q38" s="81"/>
    </x:row>
    <x:row r="39">
      <x:c r="A39" s="81"/>
      <x:c r="B39" s="81"/>
      <x:c r="C39" s="81"/>
      <x:c r="D39" s="81"/>
      <x:c r="E39" s="81"/>
      <x:c r="F39" s="81"/>
      <x:c r="G39" s="81"/>
      <x:c r="H39" s="81"/>
      <x:c r="I39" s="81"/>
      <x:c r="J39" s="81"/>
      <x:c r="K39" s="81"/>
      <x:c r="L39" s="81"/>
      <x:c r="M39" s="81"/>
      <x:c r="N39" s="81"/>
      <x:c r="O39" s="81"/>
      <x:c r="P39" s="81"/>
      <x:c r="Q39" s="81"/>
    </x:row>
    <x:row r="40">
      <x:c r="A40" s="81"/>
      <x:c r="B40" s="81"/>
      <x:c r="C40" s="81"/>
      <x:c r="D40" s="81"/>
      <x:c r="E40" s="81"/>
      <x:c r="F40" s="81"/>
      <x:c r="G40" s="81"/>
      <x:c r="H40" s="81"/>
      <x:c r="I40" s="81"/>
      <x:c r="J40" s="81"/>
      <x:c r="K40" s="81"/>
      <x:c r="L40" s="81"/>
      <x:c r="M40" s="81"/>
      <x:c r="N40" s="81"/>
      <x:c r="O40" s="81"/>
      <x:c r="P40" s="81"/>
      <x:c r="Q40" s="81"/>
    </x:row>
  </x:sheetData>
  <x:mergeCells>
    <x:mergeCell ref="A1:H1"/>
    <x:mergeCell ref="A9:H9"/>
    <x:mergeCell ref="A10:H14"/>
    <x:mergeCell ref="A16:H16"/>
    <x:mergeCell ref="A17:H20"/>
    <x:mergeCell ref="A22:H22"/>
  </x:mergeCells>
  <x:pageMargins left="0.7" right="0.7" top="0.75" bottom="0.75" header="0.3" footer="0.3"/>
  <x:drawing xmlns:r="http://schemas.openxmlformats.org/officeDocument/2006/relationships" r:id="Rf2418f59c60b4470"/>
</x:worksheet>
</file>

<file path=xl/worksheets/sheet2.xml><?xml version="1.0" encoding="utf-8"?>
<x:worksheet xmlns:x="http://schemas.openxmlformats.org/spreadsheetml/2006/main">
  <x:sheetFormatPr defaultRowHeight="15"/>
  <x:cols>
    <x:col min="1" max="1" width="8" hidden="0" customWidth="1"/>
    <x:col min="2" max="2" width="30" hidden="0" customWidth="1"/>
    <x:col min="6" max="6" width="30" hidden="0" customWidth="1"/>
    <x:col min="15" max="15" width="30" hidden="0" customWidth="1"/>
    <x:col min="3" max="3" width="14" hidden="0" customWidth="1"/>
    <x:col min="4" max="4" width="14" hidden="0" customWidth="1"/>
    <x:col min="5" max="5"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6" max="16" width="42" hidden="0" customWidth="1"/>
    <x:col min="17" max="17" width="55" hidden="0" customWidth="1"/>
  </x:cols>
  <x:sheetData>
    <x:row r="1">
      <x:c r="A1" s="96" t="str">
        <x:v>Topic</x:v>
      </x:c>
      <x:c r="B1" s="96" t="str">
        <x:v>Rater 1 Label</x:v>
      </x:c>
      <x:c r="C1" s="96" t="str">
        <x:v>R1 Coherence</x:v>
      </x:c>
      <x:c r="D1" s="96" t="str">
        <x:v>R1 Interpretability</x:v>
      </x:c>
      <x:c r="E1" s="96" t="str">
        <x:v>R1 Distinctiveness</x:v>
      </x:c>
      <x:c r="F1" s="96" t="str">
        <x:v>Rater 2 Label</x:v>
      </x:c>
      <x:c r="G1" s="96" t="str">
        <x:v>R2 Coherence</x:v>
      </x:c>
      <x:c r="H1" s="96" t="str">
        <x:v>R2 Interpretability</x:v>
      </x:c>
      <x:c r="I1" s="96" t="str">
        <x:v>R2 Distinctiveness</x:v>
      </x:c>
      <x:c r="J1" s="96" t="str">
        <x:v>Mean Coherence</x:v>
      </x:c>
      <x:c r="K1" s="96" t="str">
        <x:v>Mean Interpretability</x:v>
      </x:c>
      <x:c r="L1" s="96" t="str">
        <x:v>Mean Distinctiveness</x:v>
      </x:c>
      <x:c r="M1" s="96" t="str">
        <x:v>Overall Mean</x:v>
      </x:c>
      <x:c r="N1" s="96" t="str">
        <x:v>Rater 2 Validity</x:v>
      </x:c>
      <x:c r="O1" s="96" t="str">
        <x:v>Reconciled Label</x:v>
      </x:c>
      <x:c r="P1" s="96" t="str">
        <x:v>Evaluation</x:v>
      </x:c>
      <x:c r="Q1" s="96" t="str">
        <x:v>Rater 2 Notes</x:v>
      </x:c>
    </x:row>
    <x:row r="2">
      <x:c r="A2" s="21" t="n">
        <x:v>0</x:v>
      </x:c>
      <x:c r="B2" s="21" t="str">
        <x:v>Developer Experience &amp; Trust</x:v>
      </x:c>
      <x:c r="C2" s="21" t="n">
        <x:v>5</x:v>
      </x:c>
      <x:c r="D2" s="21" t="n">
        <x:v>5</x:v>
      </x:c>
      <x:c r="E2" s="21" t="n">
        <x:v>5</x:v>
      </x:c>
      <x:c r="F2" s="21" t="str">
        <x:v>Developer Community Trust &amp; Experience with AI Coding Assistants</x:v>
      </x:c>
      <x:c r="G2" s="21" t="n">
        <x:v>4</x:v>
      </x:c>
      <x:c r="H2" s="21" t="n">
        <x:v>4</x:v>
      </x:c>
      <x:c r="I2" s="21" t="n">
        <x:v>3</x:v>
      </x:c>
      <x:c r="J2" s="87" t="n">
        <x:f>AVERAGE(C2,G2)</x:f>
        <x:v>4.5</x:v>
      </x:c>
      <x:c r="K2" s="87" t="n">
        <x:f>AVERAGE(D2,H2)</x:f>
        <x:v>4.5</x:v>
      </x:c>
      <x:c r="L2" s="87" t="n">
        <x:f>AVERAGE(E2,I2)</x:f>
        <x:v>4</x:v>
      </x:c>
      <x:c r="M2" s="87" t="n">
        <x:f>AVERAGE(J2:L2)</x:f>
        <x:v>4.333333333333333</x:v>
      </x:c>
      <x:c r="N2" s="21" t="str">
        <x:v>Valid</x:v>
      </x:c>
      <x:c r="O2" s="21" t="str">
        <x:v>Developer Trust and Experience with AI Coding Assistants</x:v>
      </x:c>
      <x:c r="P2" s="21" t="str">
        <x:v>Strongly interpretable; some overlap with practitioner-experience topics.</x:v>
      </x:c>
      <x:c r="Q2" s="21" t="str">
        <x:v>Clear trust/community/experience theme, but overlaps somewhat with Topic 7 (practitioner survey) and Topic 4 (developer usage).</x:v>
      </x:c>
    </x:row>
    <x:row r="3">
      <x:c r="A3" s="21" t="n">
        <x:v>1</x:v>
      </x:c>
      <x:c r="B3" s="21" t="str">
        <x:v>Package Hallucinations &amp; Security</x:v>
      </x:c>
      <x:c r="C3" s="21" t="n">
        <x:v>4</x:v>
      </x:c>
      <x:c r="D3" s="21" t="n">
        <x:v>4</x:v>
      </x:c>
      <x:c r="E3" s="21" t="n">
        <x:v>4</x:v>
      </x:c>
      <x:c r="F3" s="21" t="str">
        <x:v>Package Hallucination &amp; Supply-Chain/Malicious Code Risks</x:v>
      </x:c>
      <x:c r="G3" s="21" t="n">
        <x:v>4</x:v>
      </x:c>
      <x:c r="H3" s="21" t="n">
        <x:v>4</x:v>
      </x:c>
      <x:c r="I3" s="21" t="n">
        <x:v>5</x:v>
      </x:c>
      <x:c r="J3" s="87" t="n">
        <x:f>AVERAGE(C3,G3)</x:f>
        <x:v>4</x:v>
      </x:c>
      <x:c r="K3" s="87" t="n">
        <x:f>AVERAGE(D3,H3)</x:f>
        <x:v>4</x:v>
      </x:c>
      <x:c r="L3" s="87" t="n">
        <x:f>AVERAGE(E3,I3)</x:f>
        <x:v>4.5</x:v>
      </x:c>
      <x:c r="M3" s="87" t="n">
        <x:f>AVERAGE(J3:L3)</x:f>
        <x:v>4.166666666666667</x:v>
      </x:c>
      <x:c r="N3" s="21" t="str">
        <x:v>Borderline</x:v>
      </x:c>
      <x:c r="O3" s="21" t="str">
        <x:v>Package Hallucination and Supply-Chain Security Risks</x:v>
      </x:c>
      <x:c r="P3" s="21" t="str">
        <x:v>Strong term-level identity; document support contains some noise.</x:v>
      </x:c>
      <x:c r="Q3" s="21" t="str">
        <x:v>Top terms are highly specific and distinctive (package, npm, pypi, malicious, deepseek), giving strong interpretability and no overlap with other topics. However, several of the top-loading studies (S64, S10, S49, S61, S07) do not obviously concern package hallucination, suggesting some document-level noise despite a clean term profile.</x:v>
      </x:c>
    </x:row>
    <x:row r="4">
      <x:c r="A4" s="21" t="n">
        <x:v>2</x:v>
      </x:c>
      <x:c r="B4" s="21" t="str">
        <x:v>Secure Class-Level Generation</x:v>
      </x:c>
      <x:c r="C4" s="21" t="n">
        <x:v>4</x:v>
      </x:c>
      <x:c r="D4" s="21" t="n">
        <x:v>4</x:v>
      </x:c>
      <x:c r="E4" s="21" t="n">
        <x:v>5</x:v>
      </x:c>
      <x:c r="F4" s="21" t="str">
        <x:v>Code Security, Safety-Critical &amp; Class-Level Completion Benchmarks</x:v>
      </x:c>
      <x:c r="G4" s="21" t="n">
        <x:v>3</x:v>
      </x:c>
      <x:c r="H4" s="21" t="n">
        <x:v>3</x:v>
      </x:c>
      <x:c r="I4" s="21" t="n">
        <x:v>3</x:v>
      </x:c>
      <x:c r="J4" s="87" t="n">
        <x:f>AVERAGE(C4,G4)</x:f>
        <x:v>3.5</x:v>
      </x:c>
      <x:c r="K4" s="87" t="n">
        <x:f>AVERAGE(D4,H4)</x:f>
        <x:v>3.5</x:v>
      </x:c>
      <x:c r="L4" s="87" t="n">
        <x:f>AVERAGE(E4,I4)</x:f>
        <x:v>4</x:v>
      </x:c>
      <x:c r="M4" s="87" t="n">
        <x:f>AVERAGE(J4:L4)</x:f>
        <x:v>3.6666666666666665</x:v>
      </x:c>
      <x:c r="N4" s="21" t="str">
        <x:v>Borderline</x:v>
      </x:c>
      <x:c r="O4" s="21" t="str">
        <x:v>Security and Safety-Critical Code Generation Evaluation</x:v>
      </x:c>
      <x:c r="P4" s="21" t="str">
        <x:v>Moderate support; appears to merge security/safety and class-level benchmarking.</x:v>
      </x:c>
      <x:c r="Q4" s="21" t="str">
        <x:v>Appears to merge two related but separable sub-themes: (a) security/safety vulnerability and (b) class-/API-level completion benchmarking. Overlaps with Topic 6 (vulnerability/quality metrics) and Topic 3 (API hallucination mitigation).</x:v>
      </x:c>
    </x:row>
    <x:row r="5">
      <x:c r="A5" s="21" t="n">
        <x:v>3</x:v>
      </x:c>
      <x:c r="B5" s="21" t="str">
        <x:v>Hallucination Mitigation</x:v>
      </x:c>
      <x:c r="C5" s="21" t="n">
        <x:v>5</x:v>
      </x:c>
      <x:c r="D5" s="21" t="n">
        <x:v>5</x:v>
      </x:c>
      <x:c r="E5" s="21" t="n">
        <x:v>5</x:v>
      </x:c>
      <x:c r="F5" s="21" t="str">
        <x:v>Hallucination Detection &amp; Mitigation Methods (Benchmarks, Self-Consistency, RAG)</x:v>
      </x:c>
      <x:c r="G5" s="21" t="n">
        <x:v>4</x:v>
      </x:c>
      <x:c r="H5" s="21" t="n">
        <x:v>3</x:v>
      </x:c>
      <x:c r="I5" s="21" t="n">
        <x:v>4</x:v>
      </x:c>
      <x:c r="J5" s="87" t="n">
        <x:f>AVERAGE(C5,G5)</x:f>
        <x:v>4.5</x:v>
      </x:c>
      <x:c r="K5" s="87" t="n">
        <x:f>AVERAGE(D5,H5)</x:f>
        <x:v>4</x:v>
      </x:c>
      <x:c r="L5" s="87" t="n">
        <x:f>AVERAGE(E5,I5)</x:f>
        <x:v>4.5</x:v>
      </x:c>
      <x:c r="M5" s="87" t="n">
        <x:f>AVERAGE(J5:L5)</x:f>
        <x:v>4.333333333333333</x:v>
      </x:c>
      <x:c r="N5" s="21" t="str">
        <x:v>Valid</x:v>
      </x:c>
      <x:c r="O5" s="21" t="str">
        <x:v>Code Hallucination Detection and Mitigation Methods</x:v>
      </x:c>
      <x:c r="P5" s="21" t="str">
        <x:v>Strongly interpretable and relatively distinct mitigation/verification theme.</x:v>
      </x:c>
      <x:c r="Q5" s="21" t="str">
        <x:v>Terms are technical (token, frequency, iteration, humaneval) but consistently point to hallucination benchmarking/mitigation methodology; reasonably distinct from Topic 1's package-specific hallucination focus.</x:v>
      </x:c>
    </x:row>
    <x:row r="6">
      <x:c r="A6" s="21" t="n">
        <x:v>4</x:v>
      </x:c>
      <x:c r="B6" s="21" t="str">
        <x:v>General Coding Proficiency</x:v>
      </x:c>
      <x:c r="C6" s="21" t="n">
        <x:v>4</x:v>
      </x:c>
      <x:c r="D6" s="21" t="n">
        <x:v>4</x:v>
      </x:c>
      <x:c r="E6" s="21" t="n">
        <x:v>2</x:v>
      </x:c>
      <x:c r="F6" s="21" t="str">
        <x:v>LLM Proficiency on Coding Exercises &amp; Competitive-Programming Benchmarks</x:v>
      </x:c>
      <x:c r="G6" s="21" t="n">
        <x:v>3</x:v>
      </x:c>
      <x:c r="H6" s="21" t="n">
        <x:v>3</x:v>
      </x:c>
      <x:c r="I6" s="21" t="n">
        <x:v>3</x:v>
      </x:c>
      <x:c r="J6" s="87" t="n">
        <x:f>AVERAGE(C6,G6)</x:f>
        <x:v>3.5</x:v>
      </x:c>
      <x:c r="K6" s="87" t="n">
        <x:f>AVERAGE(D6,H6)</x:f>
        <x:v>3.5</x:v>
      </x:c>
      <x:c r="L6" s="87" t="n">
        <x:f>AVERAGE(E6,I6)</x:f>
        <x:v>2.5</x:v>
      </x:c>
      <x:c r="M6" s="87" t="n">
        <x:f>AVERAGE(J6:L6)</x:f>
        <x:v>3.1666666666666665</x:v>
      </x:c>
      <x:c r="N6" s="21" t="str">
        <x:v>Borderline</x:v>
      </x:c>
      <x:c r="O6" s="21" t="str">
        <x:v>LLM Coding Proficiency and Programming Tasks</x:v>
      </x:c>
      <x:c r="P6" s="21" t="str">
        <x:v>Weakest topic; broad/heterogeneous and overlaps education/quality topics.</x:v>
      </x:c>
      <x:c r="Q6" s="21" t="str">
        <x:v>Somewhat heterogeneous, spanning exercise generation, chatbot proficiency comparisons, and developer usage studies; overlaps with Topic 5 (education/exercises) and Topic 6 (quality evaluation).</x:v>
      </x:c>
    </x:row>
    <x:row r="7">
      <x:c r="A7" s="21" t="n">
        <x:v>5</x:v>
      </x:c>
      <x:c r="B7" s="21" t="str">
        <x:v>Computing Education &amp; Learning</x:v>
      </x:c>
      <x:c r="C7" s="21" t="n">
        <x:v>5</x:v>
      </x:c>
      <x:c r="D7" s="21" t="n">
        <x:v>5</x:v>
      </x:c>
      <x:c r="E7" s="21" t="n">
        <x:v>5</x:v>
      </x:c>
      <x:c r="F7" s="21" t="str">
        <x:v>Programming Education: Student Learning, Feedback &amp; Assessment</x:v>
      </x:c>
      <x:c r="G7" s="21" t="n">
        <x:v>5</x:v>
      </x:c>
      <x:c r="H7" s="21" t="n">
        <x:v>5</x:v>
      </x:c>
      <x:c r="I7" s="21" t="n">
        <x:v>4</x:v>
      </x:c>
      <x:c r="J7" s="87" t="n">
        <x:f>AVERAGE(C7,G7)</x:f>
        <x:v>5</x:v>
      </x:c>
      <x:c r="K7" s="87" t="n">
        <x:f>AVERAGE(D7,H7)</x:f>
        <x:v>5</x:v>
      </x:c>
      <x:c r="L7" s="87" t="n">
        <x:f>AVERAGE(E7,I7)</x:f>
        <x:v>4.5</x:v>
      </x:c>
      <x:c r="M7" s="87" t="n">
        <x:f>AVERAGE(J7:L7)</x:f>
        <x:v>4.833333333333333</x:v>
      </x:c>
      <x:c r="N7" s="21" t="str">
        <x:v>Valid</x:v>
      </x:c>
      <x:c r="O7" s="21" t="str">
        <x:v>AI in Programming Education, Feedback, and Assessment</x:v>
      </x:c>
      <x:c r="P7" s="21" t="str">
        <x:v>Strongest topic; highly coherent and consistently identified by both raters.</x:v>
      </x:c>
      <x:c r="Q7" s="21" t="str">
        <x:v>Clean, well-defined education topic; one of the clearest in the solution.</x:v>
      </x:c>
    </x:row>
    <x:row r="8">
      <x:c r="A8" s="21" t="n">
        <x:v>6</x:v>
      </x:c>
      <x:c r="B8" s="21" t="str">
        <x:v>Code Complexity &amp; Determinism</x:v>
      </x:c>
      <x:c r="C8" s="21" t="n">
        <x:v>5</x:v>
      </x:c>
      <x:c r="D8" s="21" t="n">
        <x:v>5</x:v>
      </x:c>
      <x:c r="E8" s="21" t="n">
        <x:v>4</x:v>
      </x:c>
      <x:c r="F8" s="21" t="str">
        <x:v>Code Quality Metrics: Vulnerability (CWE), Complexity &amp; Non-Determinism</x:v>
      </x:c>
      <x:c r="G8" s="21" t="n">
        <x:v>3</x:v>
      </x:c>
      <x:c r="H8" s="21" t="n">
        <x:v>3</x:v>
      </x:c>
      <x:c r="I8" s="21" t="n">
        <x:v>3</x:v>
      </x:c>
      <x:c r="J8" s="87" t="n">
        <x:f>AVERAGE(C8,G8)</x:f>
        <x:v>4</x:v>
      </x:c>
      <x:c r="K8" s="87" t="n">
        <x:f>AVERAGE(D8,H8)</x:f>
        <x:v>4</x:v>
      </x:c>
      <x:c r="L8" s="87" t="n">
        <x:f>AVERAGE(E8,I8)</x:f>
        <x:v>3.5</x:v>
      </x:c>
      <x:c r="M8" s="87" t="n">
        <x:f>AVERAGE(J8:L8)</x:f>
        <x:v>3.8333333333333335</x:v>
      </x:c>
      <x:c r="N8" s="21" t="str">
        <x:v>Borderline</x:v>
      </x:c>
      <x:c r="O8" s="21" t="str">
        <x:v>Code Quality, Vulnerability, Complexity, and Non-Determinism</x:v>
      </x:c>
      <x:c r="P8" s="21" t="str">
        <x:v>Moderate support; quality/security concepts overlap with Topic 2.</x:v>
      </x:c>
      <x:c r="Q8" s="21" t="str">
        <x:v>Shares vulnerability/security vocabulary with Topic 2 and reliability/testing themes with Topic 3; reads as a metrics-focused variant of overlapping quality/security concerns.</x:v>
      </x:c>
    </x:row>
    <x:row r="9">
      <x:c r="A9" s="21" t="n">
        <x:v>7</x:v>
      </x:c>
      <x:c r="B9" s="21" t="str">
        <x:v>Bug Taxonomies &amp; Interactive Fixing</x:v>
      </x:c>
      <x:c r="C9" s="21" t="n">
        <x:v>4</x:v>
      </x:c>
      <x:c r="D9" s="21" t="n">
        <x:v>4</x:v>
      </x:c>
      <x:c r="E9" s="21" t="n">
        <x:v>4</x:v>
      </x:c>
      <x:c r="F9" s="21" t="str">
        <x:v>Bug Taxonomy &amp; Practitioner Survey of Code Defects/Patterns</x:v>
      </x:c>
      <x:c r="G9" s="21" t="n">
        <x:v>3</x:v>
      </x:c>
      <x:c r="H9" s="21" t="n">
        <x:v>3</x:v>
      </x:c>
      <x:c r="I9" s="21" t="n">
        <x:v>3</x:v>
      </x:c>
      <x:c r="J9" s="87" t="n">
        <x:f>AVERAGE(C9,G9)</x:f>
        <x:v>3.5</x:v>
      </x:c>
      <x:c r="K9" s="87" t="n">
        <x:f>AVERAGE(D9,H9)</x:f>
        <x:v>3.5</x:v>
      </x:c>
      <x:c r="L9" s="87" t="n">
        <x:f>AVERAGE(E9,I9)</x:f>
        <x:v>3.5</x:v>
      </x:c>
      <x:c r="M9" s="87" t="n">
        <x:f>AVERAGE(J9:L9)</x:f>
        <x:v>3.5</x:v>
      </x:c>
      <x:c r="N9" s="21" t="str">
        <x:v>Borderline</x:v>
      </x:c>
      <x:c r="O9" s="21" t="str">
        <x:v>Bug Patterns, Taxonomies, and Practitioner-Reported Issues</x:v>
      </x:c>
      <x:c r="P9" s="21" t="str">
        <x:v>Moderate/borderline; combines bug taxonomy with practitioner/interactive fixing content.</x:v>
      </x:c>
      <x:c r="Q9" s="21" t="str">
        <x:v>Mixes technical code-generation-method papers (AlphaCodium, Chain-of-Programming) with survey/feedback-oriented studies; overlaps with Topic 0 (developer experience) and Topic 6 (quality/bugs).</x:v>
      </x:c>
    </x:row>
    <x:row r="10">
      <x:c r="A10" s="81"/>
      <x:c r="B10" s="81"/>
      <x:c r="C10" s="81"/>
      <x:c r="D10" s="81"/>
      <x:c r="E10" s="81"/>
      <x:c r="F10" s="81"/>
      <x:c r="G10" s="81"/>
      <x:c r="H10" s="81"/>
      <x:c r="I10" s="81"/>
      <x:c r="J10" s="81"/>
      <x:c r="K10" s="81"/>
      <x:c r="L10" s="81"/>
      <x:c r="M10" s="81"/>
      <x:c r="N10" s="81"/>
      <x:c r="O10" s="81"/>
      <x:c r="P10" s="81"/>
      <x:c r="Q10" s="81"/>
    </x:row>
    <x:row r="11">
      <x:c r="A11" s="81"/>
      <x:c r="B11" s="81"/>
      <x:c r="C11" s="81"/>
      <x:c r="D11" s="81"/>
      <x:c r="E11" s="81"/>
      <x:c r="F11" s="81"/>
      <x:c r="G11" s="81"/>
      <x:c r="H11" s="81"/>
      <x:c r="I11" s="81"/>
      <x:c r="J11" s="81"/>
      <x:c r="K11" s="81"/>
      <x:c r="L11" s="81"/>
      <x:c r="M11" s="81"/>
      <x:c r="N11" s="81"/>
      <x:c r="O11" s="81"/>
      <x:c r="P11" s="81"/>
      <x:c r="Q11" s="81"/>
    </x:row>
    <x:row r="12">
      <x:c r="A12" s="81"/>
      <x:c r="B12" s="81"/>
      <x:c r="C12" s="81"/>
      <x:c r="D12" s="81"/>
      <x:c r="E12" s="81"/>
      <x:c r="F12" s="81"/>
      <x:c r="G12" s="81"/>
      <x:c r="H12" s="81"/>
      <x:c r="I12" s="81"/>
      <x:c r="J12" s="81"/>
      <x:c r="K12" s="81"/>
      <x:c r="L12" s="81"/>
      <x:c r="M12" s="81"/>
      <x:c r="N12" s="81"/>
      <x:c r="O12" s="81"/>
      <x:c r="P12" s="81"/>
      <x:c r="Q12" s="81"/>
    </x:row>
    <x:row r="13">
      <x:c r="A13" s="81"/>
      <x:c r="B13" s="81"/>
      <x:c r="C13" s="81"/>
      <x:c r="D13" s="81"/>
      <x:c r="E13" s="81"/>
      <x:c r="F13" s="81"/>
      <x:c r="G13" s="81"/>
      <x:c r="H13" s="81"/>
      <x:c r="I13" s="81"/>
      <x:c r="J13" s="81"/>
      <x:c r="K13" s="81"/>
      <x:c r="L13" s="81"/>
      <x:c r="M13" s="81"/>
      <x:c r="N13" s="81"/>
      <x:c r="O13" s="81"/>
      <x:c r="P13" s="81"/>
      <x:c r="Q13" s="81"/>
    </x:row>
    <x:row r="14">
      <x:c r="A14" s="81"/>
      <x:c r="B14" s="81"/>
      <x:c r="C14" s="81"/>
      <x:c r="D14" s="81"/>
      <x:c r="E14" s="81"/>
      <x:c r="F14" s="81"/>
      <x:c r="G14" s="81"/>
      <x:c r="H14" s="81"/>
      <x:c r="I14" s="81"/>
      <x:c r="J14" s="81"/>
      <x:c r="K14" s="81"/>
      <x:c r="L14" s="81"/>
      <x:c r="M14" s="81"/>
      <x:c r="N14" s="81"/>
      <x:c r="O14" s="81"/>
      <x:c r="P14" s="81"/>
      <x:c r="Q14" s="81"/>
    </x:row>
    <x:row r="15">
      <x:c r="A15" s="81"/>
      <x:c r="B15" s="81"/>
      <x:c r="C15" s="81"/>
      <x:c r="D15" s="81"/>
      <x:c r="E15" s="81"/>
      <x:c r="F15" s="81"/>
      <x:c r="G15" s="81"/>
      <x:c r="H15" s="81"/>
      <x:c r="I15" s="81"/>
      <x:c r="J15" s="81"/>
      <x:c r="K15" s="81"/>
      <x:c r="L15" s="81"/>
      <x:c r="M15" s="81"/>
      <x:c r="N15" s="81"/>
      <x:c r="O15" s="81"/>
      <x:c r="P15" s="81"/>
      <x:c r="Q15" s="81"/>
    </x:row>
    <x:row r="16">
      <x:c r="A16" s="81"/>
      <x:c r="B16" s="81"/>
      <x:c r="C16" s="81"/>
      <x:c r="D16" s="81"/>
      <x:c r="E16" s="81"/>
      <x:c r="F16" s="81"/>
      <x:c r="G16" s="81"/>
      <x:c r="H16" s="81"/>
      <x:c r="I16" s="81"/>
      <x:c r="J16" s="81"/>
      <x:c r="K16" s="81"/>
      <x:c r="L16" s="81"/>
      <x:c r="M16" s="81"/>
      <x:c r="N16" s="81"/>
      <x:c r="O16" s="81"/>
      <x:c r="P16" s="81"/>
      <x:c r="Q16" s="81"/>
    </x:row>
    <x:row r="17">
      <x:c r="A17" s="81"/>
      <x:c r="B17" s="81"/>
      <x:c r="C17" s="81"/>
      <x:c r="D17" s="81"/>
      <x:c r="E17" s="81"/>
      <x:c r="F17" s="81"/>
      <x:c r="G17" s="81"/>
      <x:c r="H17" s="81"/>
      <x:c r="I17" s="81"/>
      <x:c r="J17" s="81"/>
      <x:c r="K17" s="81"/>
      <x:c r="L17" s="81"/>
      <x:c r="M17" s="81"/>
      <x:c r="N17" s="81"/>
      <x:c r="O17" s="81"/>
      <x:c r="P17" s="81"/>
      <x:c r="Q17" s="81"/>
    </x:row>
    <x:row r="18">
      <x:c r="A18" s="81"/>
      <x:c r="B18" s="81"/>
      <x:c r="C18" s="81"/>
      <x:c r="D18" s="81"/>
      <x:c r="E18" s="81"/>
      <x:c r="F18" s="81"/>
      <x:c r="G18" s="81"/>
      <x:c r="H18" s="81"/>
      <x:c r="I18" s="81"/>
      <x:c r="J18" s="81"/>
      <x:c r="K18" s="81"/>
      <x:c r="L18" s="81"/>
      <x:c r="M18" s="81"/>
      <x:c r="N18" s="81"/>
      <x:c r="O18" s="81"/>
      <x:c r="P18" s="81"/>
      <x:c r="Q18" s="81"/>
    </x:row>
    <x:row r="19">
      <x:c r="A19" s="81"/>
      <x:c r="B19" s="81"/>
      <x:c r="C19" s="81"/>
      <x:c r="D19" s="81"/>
      <x:c r="E19" s="81"/>
      <x:c r="F19" s="81"/>
      <x:c r="G19" s="81"/>
      <x:c r="H19" s="81"/>
      <x:c r="I19" s="81"/>
      <x:c r="J19" s="81"/>
      <x:c r="K19" s="81"/>
      <x:c r="L19" s="81"/>
      <x:c r="M19" s="81"/>
      <x:c r="N19" s="81"/>
      <x:c r="O19" s="81"/>
      <x:c r="P19" s="81"/>
      <x:c r="Q19" s="81"/>
    </x:row>
    <x:row r="20">
      <x:c r="A20" s="81"/>
      <x:c r="B20" s="81"/>
      <x:c r="C20" s="81"/>
      <x:c r="D20" s="81"/>
      <x:c r="E20" s="81"/>
      <x:c r="F20" s="81"/>
      <x:c r="G20" s="81"/>
      <x:c r="H20" s="81"/>
      <x:c r="I20" s="81"/>
      <x:c r="J20" s="81"/>
      <x:c r="K20" s="81"/>
      <x:c r="L20" s="81"/>
      <x:c r="M20" s="81"/>
      <x:c r="N20" s="81"/>
      <x:c r="O20" s="81"/>
      <x:c r="P20" s="81"/>
      <x:c r="Q20" s="81"/>
    </x:row>
    <x:row r="21">
      <x:c r="A21" s="81"/>
      <x:c r="B21" s="81"/>
      <x:c r="C21" s="81"/>
      <x:c r="D21" s="81"/>
      <x:c r="E21" s="81"/>
      <x:c r="F21" s="81"/>
      <x:c r="G21" s="81"/>
      <x:c r="H21" s="81"/>
      <x:c r="I21" s="81"/>
      <x:c r="J21" s="81"/>
      <x:c r="K21" s="81"/>
      <x:c r="L21" s="81"/>
      <x:c r="M21" s="81"/>
      <x:c r="N21" s="81"/>
      <x:c r="O21" s="81"/>
      <x:c r="P21" s="81"/>
      <x:c r="Q21" s="81"/>
    </x:row>
    <x:row r="22">
      <x:c r="A22" s="81"/>
      <x:c r="B22" s="81"/>
      <x:c r="C22" s="81"/>
      <x:c r="D22" s="81"/>
      <x:c r="E22" s="81"/>
      <x:c r="F22" s="81"/>
      <x:c r="G22" s="81"/>
      <x:c r="H22" s="81"/>
      <x:c r="I22" s="81"/>
      <x:c r="J22" s="81"/>
      <x:c r="K22" s="81"/>
      <x:c r="L22" s="81"/>
      <x:c r="M22" s="81"/>
      <x:c r="N22" s="81"/>
      <x:c r="O22" s="81"/>
      <x:c r="P22" s="81"/>
      <x:c r="Q22" s="81"/>
    </x:row>
    <x:row r="23">
      <x:c r="A23" s="81"/>
      <x:c r="B23" s="81"/>
      <x:c r="C23" s="81"/>
      <x:c r="D23" s="81"/>
      <x:c r="E23" s="81"/>
      <x:c r="F23" s="81"/>
      <x:c r="G23" s="81"/>
      <x:c r="H23" s="81"/>
      <x:c r="I23" s="81"/>
      <x:c r="J23" s="81"/>
      <x:c r="K23" s="81"/>
      <x:c r="L23" s="81"/>
      <x:c r="M23" s="81"/>
      <x:c r="N23" s="81"/>
      <x:c r="O23" s="81"/>
      <x:c r="P23" s="81"/>
      <x:c r="Q23" s="81"/>
    </x:row>
    <x:row r="24">
      <x:c r="A24" s="81"/>
      <x:c r="B24" s="81"/>
      <x:c r="C24" s="81"/>
      <x:c r="D24" s="81"/>
      <x:c r="E24" s="81"/>
      <x:c r="F24" s="81"/>
      <x:c r="G24" s="81"/>
      <x:c r="H24" s="81"/>
      <x:c r="I24" s="81"/>
      <x:c r="J24" s="81"/>
      <x:c r="K24" s="81"/>
      <x:c r="L24" s="81"/>
      <x:c r="M24" s="81"/>
      <x:c r="N24" s="81"/>
      <x:c r="O24" s="81"/>
      <x:c r="P24" s="81"/>
      <x:c r="Q24" s="81"/>
    </x:row>
    <x:row r="25">
      <x:c r="A25" s="81"/>
      <x:c r="B25" s="81"/>
      <x:c r="C25" s="81"/>
      <x:c r="D25" s="81"/>
      <x:c r="E25" s="81"/>
      <x:c r="F25" s="81"/>
      <x:c r="G25" s="81"/>
      <x:c r="H25" s="81"/>
      <x:c r="I25" s="81"/>
      <x:c r="J25" s="81"/>
      <x:c r="K25" s="81"/>
      <x:c r="L25" s="81"/>
      <x:c r="M25" s="81"/>
      <x:c r="N25" s="81"/>
      <x:c r="O25" s="81"/>
      <x:c r="P25" s="81"/>
      <x:c r="Q25" s="81"/>
    </x:row>
    <x:row r="26">
      <x:c r="A26" s="81"/>
      <x:c r="B26" s="81"/>
      <x:c r="C26" s="81"/>
      <x:c r="D26" s="81"/>
      <x:c r="E26" s="81"/>
      <x:c r="F26" s="81"/>
      <x:c r="G26" s="81"/>
      <x:c r="H26" s="81"/>
      <x:c r="I26" s="81"/>
      <x:c r="J26" s="81"/>
      <x:c r="K26" s="81"/>
      <x:c r="L26" s="81"/>
      <x:c r="M26" s="81"/>
      <x:c r="N26" s="81"/>
      <x:c r="O26" s="81"/>
      <x:c r="P26" s="81"/>
      <x:c r="Q26" s="81"/>
    </x:row>
    <x:row r="27">
      <x:c r="A27" s="81"/>
      <x:c r="B27" s="81"/>
      <x:c r="C27" s="81"/>
      <x:c r="D27" s="81"/>
      <x:c r="E27" s="81"/>
      <x:c r="F27" s="81"/>
      <x:c r="G27" s="81"/>
      <x:c r="H27" s="81"/>
      <x:c r="I27" s="81"/>
      <x:c r="J27" s="81"/>
      <x:c r="K27" s="81"/>
      <x:c r="L27" s="81"/>
      <x:c r="M27" s="81"/>
      <x:c r="N27" s="81"/>
      <x:c r="O27" s="81"/>
      <x:c r="P27" s="81"/>
      <x:c r="Q27" s="81"/>
    </x:row>
    <x:row r="28">
      <x:c r="A28" s="81"/>
      <x:c r="B28" s="81"/>
      <x:c r="C28" s="81"/>
      <x:c r="D28" s="81"/>
      <x:c r="E28" s="81"/>
      <x:c r="F28" s="81"/>
      <x:c r="G28" s="81"/>
      <x:c r="H28" s="81"/>
      <x:c r="I28" s="81"/>
      <x:c r="J28" s="81"/>
      <x:c r="K28" s="81"/>
      <x:c r="L28" s="81"/>
      <x:c r="M28" s="81"/>
      <x:c r="N28" s="81"/>
      <x:c r="O28" s="81"/>
      <x:c r="P28" s="81"/>
      <x:c r="Q28" s="81"/>
    </x:row>
    <x:row r="29">
      <x:c r="A29" s="81"/>
      <x:c r="B29" s="81"/>
      <x:c r="C29" s="81"/>
      <x:c r="D29" s="81"/>
      <x:c r="E29" s="81"/>
      <x:c r="F29" s="81"/>
      <x:c r="G29" s="81"/>
      <x:c r="H29" s="81"/>
      <x:c r="I29" s="81"/>
      <x:c r="J29" s="81"/>
      <x:c r="K29" s="81"/>
      <x:c r="L29" s="81"/>
      <x:c r="M29" s="81"/>
      <x:c r="N29" s="81"/>
      <x:c r="O29" s="81"/>
      <x:c r="P29" s="81"/>
      <x:c r="Q29" s="81"/>
    </x:row>
    <x:row r="30">
      <x:c r="A30" s="81"/>
      <x:c r="B30" s="81"/>
      <x:c r="C30" s="81"/>
      <x:c r="D30" s="81"/>
      <x:c r="E30" s="81"/>
      <x:c r="F30" s="81"/>
      <x:c r="G30" s="81"/>
      <x:c r="H30" s="81"/>
      <x:c r="I30" s="81"/>
      <x:c r="J30" s="81"/>
      <x:c r="K30" s="81"/>
      <x:c r="L30" s="81"/>
      <x:c r="M30" s="81"/>
      <x:c r="N30" s="81"/>
      <x:c r="O30" s="81"/>
      <x:c r="P30" s="81"/>
      <x:c r="Q30" s="81"/>
    </x:row>
    <x:row r="31">
      <x:c r="A31" s="81"/>
      <x:c r="B31" s="81"/>
      <x:c r="C31" s="81"/>
      <x:c r="D31" s="81"/>
      <x:c r="E31" s="81"/>
      <x:c r="F31" s="81"/>
      <x:c r="G31" s="81"/>
      <x:c r="H31" s="81"/>
      <x:c r="I31" s="81"/>
      <x:c r="J31" s="81"/>
      <x:c r="K31" s="81"/>
      <x:c r="L31" s="81"/>
      <x:c r="M31" s="81"/>
      <x:c r="N31" s="81"/>
      <x:c r="O31" s="81"/>
      <x:c r="P31" s="81"/>
      <x:c r="Q31" s="81"/>
    </x:row>
    <x:row r="32">
      <x:c r="A32" s="81"/>
      <x:c r="B32" s="81"/>
      <x:c r="C32" s="81"/>
      <x:c r="D32" s="81"/>
      <x:c r="E32" s="81"/>
      <x:c r="F32" s="81"/>
      <x:c r="G32" s="81"/>
      <x:c r="H32" s="81"/>
      <x:c r="I32" s="81"/>
      <x:c r="J32" s="81"/>
      <x:c r="K32" s="81"/>
      <x:c r="L32" s="81"/>
      <x:c r="M32" s="81"/>
      <x:c r="N32" s="81"/>
      <x:c r="O32" s="81"/>
      <x:c r="P32" s="81"/>
      <x:c r="Q32" s="81"/>
    </x:row>
    <x:row r="33">
      <x:c r="A33" s="81"/>
      <x:c r="B33" s="81"/>
      <x:c r="C33" s="81"/>
      <x:c r="D33" s="81"/>
      <x:c r="E33" s="81"/>
      <x:c r="F33" s="81"/>
      <x:c r="G33" s="81"/>
      <x:c r="H33" s="81"/>
      <x:c r="I33" s="81"/>
      <x:c r="J33" s="81"/>
      <x:c r="K33" s="81"/>
      <x:c r="L33" s="81"/>
      <x:c r="M33" s="81"/>
      <x:c r="N33" s="81"/>
      <x:c r="O33" s="81"/>
      <x:c r="P33" s="81"/>
      <x:c r="Q33" s="81"/>
    </x:row>
    <x:row r="34">
      <x:c r="A34" s="81"/>
      <x:c r="B34" s="81"/>
      <x:c r="C34" s="81"/>
      <x:c r="D34" s="81"/>
      <x:c r="E34" s="81"/>
      <x:c r="F34" s="81"/>
      <x:c r="G34" s="81"/>
      <x:c r="H34" s="81"/>
      <x:c r="I34" s="81"/>
      <x:c r="J34" s="81"/>
      <x:c r="K34" s="81"/>
      <x:c r="L34" s="81"/>
      <x:c r="M34" s="81"/>
      <x:c r="N34" s="81"/>
      <x:c r="O34" s="81"/>
      <x:c r="P34" s="81"/>
      <x:c r="Q34" s="81"/>
    </x:row>
    <x:row r="35">
      <x:c r="A35" s="81"/>
      <x:c r="B35" s="81"/>
      <x:c r="C35" s="81"/>
      <x:c r="D35" s="81"/>
      <x:c r="E35" s="81"/>
      <x:c r="F35" s="81"/>
      <x:c r="G35" s="81"/>
      <x:c r="H35" s="81"/>
      <x:c r="I35" s="81"/>
      <x:c r="J35" s="81"/>
      <x:c r="K35" s="81"/>
      <x:c r="L35" s="81"/>
      <x:c r="M35" s="81"/>
      <x:c r="N35" s="81"/>
      <x:c r="O35" s="81"/>
      <x:c r="P35" s="81"/>
      <x:c r="Q35" s="81"/>
    </x:row>
    <x:row r="36">
      <x:c r="A36" s="81"/>
      <x:c r="B36" s="81"/>
      <x:c r="C36" s="81"/>
      <x:c r="D36" s="81"/>
      <x:c r="E36" s="81"/>
      <x:c r="F36" s="81"/>
      <x:c r="G36" s="81"/>
      <x:c r="H36" s="81"/>
      <x:c r="I36" s="81"/>
      <x:c r="J36" s="81"/>
      <x:c r="K36" s="81"/>
      <x:c r="L36" s="81"/>
      <x:c r="M36" s="81"/>
      <x:c r="N36" s="81"/>
      <x:c r="O36" s="81"/>
      <x:c r="P36" s="81"/>
      <x:c r="Q36" s="81"/>
    </x:row>
    <x:row r="37">
      <x:c r="A37" s="81"/>
      <x:c r="B37" s="81"/>
      <x:c r="C37" s="81"/>
      <x:c r="D37" s="81"/>
      <x:c r="E37" s="81"/>
      <x:c r="F37" s="81"/>
      <x:c r="G37" s="81"/>
      <x:c r="H37" s="81"/>
      <x:c r="I37" s="81"/>
      <x:c r="J37" s="81"/>
      <x:c r="K37" s="81"/>
      <x:c r="L37" s="81"/>
      <x:c r="M37" s="81"/>
      <x:c r="N37" s="81"/>
      <x:c r="O37" s="81"/>
      <x:c r="P37" s="81"/>
      <x:c r="Q37" s="81"/>
    </x:row>
    <x:row r="38">
      <x:c r="A38" s="81"/>
      <x:c r="B38" s="81"/>
      <x:c r="C38" s="81"/>
      <x:c r="D38" s="81"/>
      <x:c r="E38" s="81"/>
      <x:c r="F38" s="81"/>
      <x:c r="G38" s="81"/>
      <x:c r="H38" s="81"/>
      <x:c r="I38" s="81"/>
      <x:c r="J38" s="81"/>
      <x:c r="K38" s="81"/>
      <x:c r="L38" s="81"/>
      <x:c r="M38" s="81"/>
      <x:c r="N38" s="81"/>
      <x:c r="O38" s="81"/>
      <x:c r="P38" s="81"/>
      <x:c r="Q38" s="81"/>
    </x:row>
    <x:row r="39">
      <x:c r="A39" s="81"/>
      <x:c r="B39" s="81"/>
      <x:c r="C39" s="81"/>
      <x:c r="D39" s="81"/>
      <x:c r="E39" s="81"/>
      <x:c r="F39" s="81"/>
      <x:c r="G39" s="81"/>
      <x:c r="H39" s="81"/>
      <x:c r="I39" s="81"/>
      <x:c r="J39" s="81"/>
      <x:c r="K39" s="81"/>
      <x:c r="L39" s="81"/>
      <x:c r="M39" s="81"/>
      <x:c r="N39" s="81"/>
      <x:c r="O39" s="81"/>
      <x:c r="P39" s="81"/>
      <x:c r="Q39" s="81"/>
    </x:row>
    <x:row r="40">
      <x:c r="A40" s="81"/>
      <x:c r="B40" s="81"/>
      <x:c r="C40" s="81"/>
      <x:c r="D40" s="81"/>
      <x:c r="E40" s="81"/>
      <x:c r="F40" s="81"/>
      <x:c r="G40" s="81"/>
      <x:c r="H40" s="81"/>
      <x:c r="I40" s="81"/>
      <x:c r="J40" s="81"/>
      <x:c r="K40" s="81"/>
      <x:c r="L40" s="81"/>
      <x:c r="M40" s="81"/>
      <x:c r="N40" s="81"/>
      <x:c r="O40" s="81"/>
      <x:c r="P40" s="81"/>
      <x:c r="Q40" s="81"/>
    </x:row>
  </x:sheetData>
  <x:conditionalFormatting sqref="J2:J9">
    <x:cfRule type="colorScale" priority="1">
      <x:colorScale>
        <x:cfvo type="min"/>
        <x:cfvo type="percentile" val="50"/>
        <x:cfvo type="max"/>
        <x:color rgb="FFF4CCCC"/>
        <x:color rgb="FFFFF2CC"/>
        <x:color rgb="FFD9EAD3"/>
      </x:colorScale>
    </x:cfRule>
  </x:conditionalFormatting>
  <x:conditionalFormatting sqref="K2:K9">
    <x:cfRule type="colorScale" priority="2">
      <x:colorScale>
        <x:cfvo type="min"/>
        <x:cfvo type="percentile" val="50"/>
        <x:cfvo type="max"/>
        <x:color rgb="FFF4CCCC"/>
        <x:color rgb="FFFFF2CC"/>
        <x:color rgb="FFD9EAD3"/>
      </x:colorScale>
    </x:cfRule>
  </x:conditionalFormatting>
  <x:conditionalFormatting sqref="L2:L9">
    <x:cfRule type="colorScale" priority="3">
      <x:colorScale>
        <x:cfvo type="min"/>
        <x:cfvo type="percentile" val="50"/>
        <x:cfvo type="max"/>
        <x:color rgb="FFF4CCCC"/>
        <x:color rgb="FFFFF2CC"/>
        <x:color rgb="FFD9EAD3"/>
      </x:colorScale>
    </x:cfRule>
  </x:conditionalFormatting>
  <x:conditionalFormatting sqref="M2:M9">
    <x:cfRule type="colorScale" priority="4">
      <x:colorScale>
        <x:cfvo type="min"/>
        <x:cfvo type="percentile" val="50"/>
        <x:cfvo type="max"/>
        <x:color rgb="FFF4CCCC"/>
        <x:color rgb="FFFFF2CC"/>
        <x:color rgb="FFD9EAD3"/>
      </x:colorScale>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x:c r="A1" s="98" t="str">
        <x:v>Inter-Rater Descriptive Agreement</x:v>
      </x:c>
      <x:c r="B1" s="98"/>
      <x:c r="C1" s="98"/>
      <x:c r="D1" s="98"/>
      <x:c r="E1" s="98"/>
      <x:c r="F1" s="98"/>
      <x:c r="G1" s="98"/>
      <x:c r="H1" s="98"/>
      <x:c r="I1" s="98"/>
      <x:c r="J1" s="81"/>
      <x:c r="K1" s="81"/>
      <x:c r="L1" s="81"/>
      <x:c r="M1" s="81"/>
      <x:c r="N1" s="81"/>
      <x:c r="O1" s="81"/>
      <x:c r="P1" s="81"/>
      <x:c r="Q1" s="81"/>
    </x:row>
    <x:row r="2">
      <x:c r="A2" s="81"/>
      <x:c r="B2" s="81"/>
      <x:c r="C2" s="81"/>
      <x:c r="D2" s="81"/>
      <x:c r="E2" s="81"/>
      <x:c r="F2" s="81"/>
      <x:c r="G2" s="81"/>
      <x:c r="H2" s="81"/>
      <x:c r="I2" s="81"/>
      <x:c r="J2" s="81"/>
      <x:c r="K2" s="81"/>
      <x:c r="L2" s="81"/>
      <x:c r="M2" s="81"/>
      <x:c r="N2" s="81"/>
      <x:c r="O2" s="81"/>
      <x:c r="P2" s="81"/>
      <x:c r="Q2" s="81"/>
    </x:row>
    <x:row r="3">
      <x:c r="A3" s="86" t="str">
        <x:v>Dimension</x:v>
      </x:c>
      <x:c r="B3" s="86" t="str">
        <x:v>Rater 1 Mean</x:v>
      </x:c>
      <x:c r="C3" s="86" t="str">
        <x:v>Rater 2 Mean</x:v>
      </x:c>
      <x:c r="D3" s="86" t="str">
        <x:v>Combined Mean</x:v>
      </x:c>
      <x:c r="E3" s="86" t="str">
        <x:v>Exact Agreement</x:v>
      </x:c>
      <x:c r="F3" s="86" t="str">
        <x:v>Within ±1</x:v>
      </x:c>
      <x:c r="G3" s="86" t="str">
        <x:v>Mean Absolute Difference</x:v>
      </x:c>
      <x:c r="H3" s="86" t="str">
        <x:v>Spearman ρ</x:v>
      </x:c>
      <x:c r="I3" s="86" t="str">
        <x:v>p-value</x:v>
      </x:c>
      <x:c r="J3" s="81"/>
      <x:c r="K3" s="81"/>
      <x:c r="L3" s="81"/>
      <x:c r="M3" s="81"/>
      <x:c r="N3" s="81"/>
      <x:c r="O3" s="81"/>
      <x:c r="P3" s="81"/>
      <x:c r="Q3" s="81"/>
    </x:row>
    <x:row r="4">
      <x:c r="A4" s="21" t="str">
        <x:v>Coherence</x:v>
      </x:c>
      <x:c r="B4" s="99" t="n">
        <x:v>4.5</x:v>
      </x:c>
      <x:c r="C4" s="99" t="n">
        <x:v>3.625</x:v>
      </x:c>
      <x:c r="D4" s="99" t="n">
        <x:v>4.0625</x:v>
      </x:c>
      <x:c r="E4" s="100" t="n">
        <x:v>0.25</x:v>
      </x:c>
      <x:c r="F4" s="100" t="n">
        <x:v>0.875</x:v>
      </x:c>
      <x:c r="G4" s="99" t="n">
        <x:v>0.875</x:v>
      </x:c>
      <x:c r="H4" s="99" t="n">
        <x:v>0.5378528742004771</x:v>
      </x:c>
      <x:c r="I4" s="99" t="n">
        <x:v>0.16913822335143344</x:v>
      </x:c>
      <x:c r="J4" s="81"/>
      <x:c r="K4" s="81"/>
      <x:c r="L4" s="81"/>
      <x:c r="M4" s="81"/>
      <x:c r="N4" s="81"/>
      <x:c r="O4" s="81"/>
      <x:c r="P4" s="81"/>
      <x:c r="Q4" s="81"/>
    </x:row>
    <x:row r="5">
      <x:c r="A5" s="21" t="str">
        <x:v>Interpretability</x:v>
      </x:c>
      <x:c r="B5" s="99" t="n">
        <x:v>4.5</x:v>
      </x:c>
      <x:c r="C5" s="99" t="n">
        <x:v>3.5</x:v>
      </x:c>
      <x:c r="D5" s="99" t="n">
        <x:v>4</x:v>
      </x:c>
      <x:c r="E5" s="100" t="n">
        <x:v>0.25</x:v>
      </x:c>
      <x:c r="F5" s="100" t="n">
        <x:v>0.75</x:v>
      </x:c>
      <x:c r="G5" s="99" t="n">
        <x:v>1</x:v>
      </x:c>
      <x:c r="H5" s="99" t="n">
        <x:v>0.314970394174356</x:v>
      </x:c>
      <x:c r="I5" s="99" t="n">
        <x:v>0.4473268744275614</x:v>
      </x:c>
      <x:c r="J5" s="81"/>
      <x:c r="K5" s="81"/>
      <x:c r="L5" s="81"/>
      <x:c r="M5" s="81"/>
      <x:c r="N5" s="81"/>
      <x:c r="O5" s="81"/>
      <x:c r="P5" s="81"/>
      <x:c r="Q5" s="81"/>
    </x:row>
    <x:row r="6">
      <x:c r="A6" s="21" t="str">
        <x:v>Distinctiveness</x:v>
      </x:c>
      <x:c r="B6" s="99" t="n">
        <x:v>4.25</x:v>
      </x:c>
      <x:c r="C6" s="99" t="n">
        <x:v>3.5</x:v>
      </x:c>
      <x:c r="D6" s="99" t="n">
        <x:v>3.875</x:v>
      </x:c>
      <x:c r="E6" s="100" t="n">
        <x:v>0</x:v>
      </x:c>
      <x:c r="F6" s="100" t="n">
        <x:v>0.75</x:v>
      </x:c>
      <x:c r="G6" s="99" t="n">
        <x:v>1.25</x:v>
      </x:c>
      <x:c r="H6" s="99" t="n">
        <x:v>0.1957600456294711</x:v>
      </x:c>
      <x:c r="I6" s="99" t="n">
        <x:v>0.6422195007801821</x:v>
      </x:c>
      <x:c r="J6" s="81"/>
      <x:c r="K6" s="81"/>
      <x:c r="L6" s="81"/>
      <x:c r="M6" s="81"/>
      <x:c r="N6" s="81"/>
      <x:c r="O6" s="81"/>
      <x:c r="P6" s="81"/>
      <x:c r="Q6" s="81"/>
    </x:row>
    <x:row r="7">
      <x:c r="A7" s="81"/>
      <x:c r="B7" s="81"/>
      <x:c r="C7" s="81"/>
      <x:c r="D7" s="81"/>
      <x:c r="E7" s="81"/>
      <x:c r="F7" s="81"/>
      <x:c r="G7" s="81"/>
      <x:c r="H7" s="81"/>
      <x:c r="I7" s="81"/>
      <x:c r="J7" s="81"/>
      <x:c r="K7" s="81"/>
      <x:c r="L7" s="81"/>
      <x:c r="M7" s="81"/>
      <x:c r="N7" s="81"/>
      <x:c r="O7" s="81"/>
      <x:c r="P7" s="81"/>
      <x:c r="Q7" s="81"/>
    </x:row>
    <x:row r="8">
      <x:c r="A8" s="101" t="str">
        <x:v>Interpretation of Agreement</x:v>
      </x:c>
      <x:c r="B8" s="101"/>
      <x:c r="C8" s="101"/>
      <x:c r="D8" s="101"/>
      <x:c r="E8" s="101"/>
      <x:c r="F8" s="101"/>
      <x:c r="G8" s="101"/>
      <x:c r="H8" s="101"/>
      <x:c r="I8" s="101"/>
      <x:c r="J8" s="81"/>
      <x:c r="K8" s="81"/>
      <x:c r="L8" s="81"/>
      <x:c r="M8" s="81"/>
      <x:c r="N8" s="81"/>
      <x:c r="O8" s="81"/>
      <x:c r="P8" s="81"/>
      <x:c r="Q8" s="81"/>
    </x:row>
    <x:row r="9">
      <x:c r="A9" s="21" t="str">
        <x:v>Rater 1 scored the topic solution systematically more favorably than Rater 2. Exact numeric agreement is limited, but most ratings differ by no more than one point. Agreement is strongest for broad semantic interpretation and weaker for distinctiveness. Spearman correlations are descriptive only because there are just eight topics; none should be treated as a definitive reliability coefficient. The substantive labels, however, are highly similar in meaning across the two raters for most topics, which supports recognizability of the broad themes despite uncertainty about fine-grained separation.</x:v>
      </x:c>
      <x:c r="B9" s="21"/>
      <x:c r="C9" s="21"/>
      <x:c r="D9" s="21"/>
      <x:c r="E9" s="21"/>
      <x:c r="F9" s="21"/>
      <x:c r="G9" s="21"/>
      <x:c r="H9" s="21"/>
      <x:c r="I9" s="21"/>
      <x:c r="J9" s="81"/>
      <x:c r="K9" s="81"/>
      <x:c r="L9" s="81"/>
      <x:c r="M9" s="81"/>
      <x:c r="N9" s="81"/>
      <x:c r="O9" s="81"/>
      <x:c r="P9" s="81"/>
      <x:c r="Q9" s="81"/>
    </x:row>
    <x:row r="10">
      <x:c r="A10" s="21"/>
      <x:c r="B10" s="21"/>
      <x:c r="C10" s="21"/>
      <x:c r="D10" s="21"/>
      <x:c r="E10" s="21"/>
      <x:c r="F10" s="21"/>
      <x:c r="G10" s="21"/>
      <x:c r="H10" s="21"/>
      <x:c r="I10" s="21"/>
      <x:c r="J10" s="81"/>
      <x:c r="K10" s="81"/>
      <x:c r="L10" s="81"/>
      <x:c r="M10" s="81"/>
      <x:c r="N10" s="81"/>
      <x:c r="O10" s="81"/>
      <x:c r="P10" s="81"/>
      <x:c r="Q10" s="81"/>
    </x:row>
    <x:row r="11">
      <x:c r="A11" s="21"/>
      <x:c r="B11" s="21"/>
      <x:c r="C11" s="21"/>
      <x:c r="D11" s="21"/>
      <x:c r="E11" s="21"/>
      <x:c r="F11" s="21"/>
      <x:c r="G11" s="21"/>
      <x:c r="H11" s="21"/>
      <x:c r="I11" s="21"/>
      <x:c r="J11" s="81"/>
      <x:c r="K11" s="81"/>
      <x:c r="L11" s="81"/>
      <x:c r="M11" s="81"/>
      <x:c r="N11" s="81"/>
      <x:c r="O11" s="81"/>
      <x:c r="P11" s="81"/>
      <x:c r="Q11" s="81"/>
    </x:row>
    <x:row r="12">
      <x:c r="A12" s="21"/>
      <x:c r="B12" s="21"/>
      <x:c r="C12" s="21"/>
      <x:c r="D12" s="21"/>
      <x:c r="E12" s="21"/>
      <x:c r="F12" s="21"/>
      <x:c r="G12" s="21"/>
      <x:c r="H12" s="21"/>
      <x:c r="I12" s="21"/>
      <x:c r="J12" s="81"/>
      <x:c r="K12" s="81"/>
      <x:c r="L12" s="81"/>
      <x:c r="M12" s="81"/>
      <x:c r="N12" s="81"/>
      <x:c r="O12" s="81"/>
      <x:c r="P12" s="81"/>
      <x:c r="Q12" s="81"/>
    </x:row>
    <x:row r="13">
      <x:c r="A13" s="81"/>
      <x:c r="B13" s="81"/>
      <x:c r="C13" s="81"/>
      <x:c r="D13" s="81"/>
      <x:c r="E13" s="81"/>
      <x:c r="F13" s="81"/>
      <x:c r="G13" s="81"/>
      <x:c r="H13" s="81"/>
      <x:c r="I13" s="81"/>
      <x:c r="J13" s="81"/>
      <x:c r="K13" s="81"/>
      <x:c r="L13" s="81"/>
      <x:c r="M13" s="81"/>
      <x:c r="N13" s="81"/>
      <x:c r="O13" s="81"/>
      <x:c r="P13" s="81"/>
      <x:c r="Q13" s="81"/>
    </x:row>
    <x:row r="14">
      <x:c r="A14" s="81"/>
      <x:c r="B14" s="81"/>
      <x:c r="C14" s="81"/>
      <x:c r="D14" s="81"/>
      <x:c r="E14" s="81"/>
      <x:c r="F14" s="81"/>
      <x:c r="G14" s="81"/>
      <x:c r="H14" s="81"/>
      <x:c r="I14" s="81"/>
      <x:c r="J14" s="81"/>
      <x:c r="K14" s="81"/>
      <x:c r="L14" s="81"/>
      <x:c r="M14" s="81"/>
      <x:c r="N14" s="81"/>
      <x:c r="O14" s="81"/>
      <x:c r="P14" s="81"/>
      <x:c r="Q14" s="81"/>
    </x:row>
    <x:row r="15">
      <x:c r="A15" s="81"/>
      <x:c r="B15" s="81"/>
      <x:c r="C15" s="81"/>
      <x:c r="D15" s="81"/>
      <x:c r="E15" s="81"/>
      <x:c r="F15" s="81"/>
      <x:c r="G15" s="81"/>
      <x:c r="H15" s="81"/>
      <x:c r="I15" s="81"/>
      <x:c r="J15" s="81"/>
      <x:c r="K15" s="81"/>
      <x:c r="L15" s="81"/>
      <x:c r="M15" s="81"/>
      <x:c r="N15" s="81"/>
      <x:c r="O15" s="81"/>
      <x:c r="P15" s="81"/>
      <x:c r="Q15" s="81"/>
    </x:row>
    <x:row r="16">
      <x:c r="A16" s="81"/>
      <x:c r="B16" s="81"/>
      <x:c r="C16" s="81"/>
      <x:c r="D16" s="81"/>
      <x:c r="E16" s="81"/>
      <x:c r="F16" s="81"/>
      <x:c r="G16" s="81"/>
      <x:c r="H16" s="81"/>
      <x:c r="I16" s="81"/>
      <x:c r="J16" s="81"/>
      <x:c r="K16" s="81"/>
      <x:c r="L16" s="81"/>
      <x:c r="M16" s="81"/>
      <x:c r="N16" s="81"/>
      <x:c r="O16" s="81"/>
      <x:c r="P16" s="81"/>
      <x:c r="Q16" s="81"/>
    </x:row>
    <x:row r="17">
      <x:c r="A17" s="81"/>
      <x:c r="B17" s="81"/>
      <x:c r="C17" s="81"/>
      <x:c r="D17" s="81"/>
      <x:c r="E17" s="81"/>
      <x:c r="F17" s="81"/>
      <x:c r="G17" s="81"/>
      <x:c r="H17" s="81"/>
      <x:c r="I17" s="81"/>
      <x:c r="J17" s="81"/>
      <x:c r="K17" s="81"/>
      <x:c r="L17" s="81"/>
      <x:c r="M17" s="81"/>
      <x:c r="N17" s="81"/>
      <x:c r="O17" s="81"/>
      <x:c r="P17" s="81"/>
      <x:c r="Q17" s="81"/>
    </x:row>
    <x:row r="18">
      <x:c r="A18" s="81"/>
      <x:c r="B18" s="81"/>
      <x:c r="C18" s="81"/>
      <x:c r="D18" s="81"/>
      <x:c r="E18" s="81"/>
      <x:c r="F18" s="81"/>
      <x:c r="G18" s="81"/>
      <x:c r="H18" s="81"/>
      <x:c r="I18" s="81"/>
      <x:c r="J18" s="81"/>
      <x:c r="K18" s="81"/>
      <x:c r="L18" s="81"/>
      <x:c r="M18" s="81"/>
      <x:c r="N18" s="81"/>
      <x:c r="O18" s="81"/>
      <x:c r="P18" s="81"/>
      <x:c r="Q18" s="81"/>
    </x:row>
    <x:row r="19">
      <x:c r="A19" s="81"/>
      <x:c r="B19" s="81"/>
      <x:c r="C19" s="81"/>
      <x:c r="D19" s="81"/>
      <x:c r="E19" s="81"/>
      <x:c r="F19" s="81"/>
      <x:c r="G19" s="81"/>
      <x:c r="H19" s="81"/>
      <x:c r="I19" s="81"/>
      <x:c r="J19" s="81"/>
      <x:c r="K19" s="81"/>
      <x:c r="L19" s="81"/>
      <x:c r="M19" s="81"/>
      <x:c r="N19" s="81"/>
      <x:c r="O19" s="81"/>
      <x:c r="P19" s="81"/>
      <x:c r="Q19" s="81"/>
    </x:row>
    <x:row r="20">
      <x:c r="A20" s="81"/>
      <x:c r="B20" s="81"/>
      <x:c r="C20" s="81"/>
      <x:c r="D20" s="81"/>
      <x:c r="E20" s="81"/>
      <x:c r="F20" s="81"/>
      <x:c r="G20" s="81"/>
      <x:c r="H20" s="81"/>
      <x:c r="I20" s="81"/>
      <x:c r="J20" s="81"/>
      <x:c r="K20" s="81"/>
      <x:c r="L20" s="81"/>
      <x:c r="M20" s="81"/>
      <x:c r="N20" s="81"/>
      <x:c r="O20" s="81"/>
      <x:c r="P20" s="81"/>
      <x:c r="Q20" s="81"/>
    </x:row>
    <x:row r="21">
      <x:c r="A21" s="81"/>
      <x:c r="B21" s="81"/>
      <x:c r="C21" s="81"/>
      <x:c r="D21" s="81"/>
      <x:c r="E21" s="81"/>
      <x:c r="F21" s="81"/>
      <x:c r="G21" s="81"/>
      <x:c r="H21" s="81"/>
      <x:c r="I21" s="81"/>
      <x:c r="J21" s="81"/>
      <x:c r="K21" s="81"/>
      <x:c r="L21" s="81"/>
      <x:c r="M21" s="81"/>
      <x:c r="N21" s="81"/>
      <x:c r="O21" s="81"/>
      <x:c r="P21" s="81"/>
      <x:c r="Q21" s="81"/>
    </x:row>
    <x:row r="22">
      <x:c r="A22" s="81"/>
      <x:c r="B22" s="81"/>
      <x:c r="C22" s="81"/>
      <x:c r="D22" s="81"/>
      <x:c r="E22" s="81"/>
      <x:c r="F22" s="81"/>
      <x:c r="G22" s="81"/>
      <x:c r="H22" s="81"/>
      <x:c r="I22" s="81"/>
      <x:c r="J22" s="81"/>
      <x:c r="K22" s="81"/>
      <x:c r="L22" s="81"/>
      <x:c r="M22" s="81"/>
      <x:c r="N22" s="81"/>
      <x:c r="O22" s="81"/>
      <x:c r="P22" s="81"/>
      <x:c r="Q22" s="81"/>
    </x:row>
    <x:row r="23">
      <x:c r="A23" s="81"/>
      <x:c r="B23" s="81"/>
      <x:c r="C23" s="81"/>
      <x:c r="D23" s="81"/>
      <x:c r="E23" s="81"/>
      <x:c r="F23" s="81"/>
      <x:c r="G23" s="81"/>
      <x:c r="H23" s="81"/>
      <x:c r="I23" s="81"/>
      <x:c r="J23" s="81"/>
      <x:c r="K23" s="81"/>
      <x:c r="L23" s="81"/>
      <x:c r="M23" s="81"/>
      <x:c r="N23" s="81"/>
      <x:c r="O23" s="81"/>
      <x:c r="P23" s="81"/>
      <x:c r="Q23" s="81"/>
    </x:row>
    <x:row r="24">
      <x:c r="A24" s="81"/>
      <x:c r="B24" s="81"/>
      <x:c r="C24" s="81"/>
      <x:c r="D24" s="81"/>
      <x:c r="E24" s="81"/>
      <x:c r="F24" s="81"/>
      <x:c r="G24" s="81"/>
      <x:c r="H24" s="81"/>
      <x:c r="I24" s="81"/>
      <x:c r="J24" s="81"/>
      <x:c r="K24" s="81"/>
      <x:c r="L24" s="81"/>
      <x:c r="M24" s="81"/>
      <x:c r="N24" s="81"/>
      <x:c r="O24" s="81"/>
      <x:c r="P24" s="81"/>
      <x:c r="Q24" s="81"/>
    </x:row>
    <x:row r="25">
      <x:c r="A25" s="81"/>
      <x:c r="B25" s="81"/>
      <x:c r="C25" s="81"/>
      <x:c r="D25" s="81"/>
      <x:c r="E25" s="81"/>
      <x:c r="F25" s="81"/>
      <x:c r="G25" s="81"/>
      <x:c r="H25" s="81"/>
      <x:c r="I25" s="81"/>
      <x:c r="J25" s="81"/>
      <x:c r="K25" s="81"/>
      <x:c r="L25" s="81"/>
      <x:c r="M25" s="81"/>
      <x:c r="N25" s="81"/>
      <x:c r="O25" s="81"/>
      <x:c r="P25" s="81"/>
      <x:c r="Q25" s="81"/>
    </x:row>
    <x:row r="26">
      <x:c r="A26" s="81"/>
      <x:c r="B26" s="81"/>
      <x:c r="C26" s="81"/>
      <x:c r="D26" s="81"/>
      <x:c r="E26" s="81"/>
      <x:c r="F26" s="81"/>
      <x:c r="G26" s="81"/>
      <x:c r="H26" s="81"/>
      <x:c r="I26" s="81"/>
      <x:c r="J26" s="81"/>
      <x:c r="K26" s="81"/>
      <x:c r="L26" s="81"/>
      <x:c r="M26" s="81"/>
      <x:c r="N26" s="81"/>
      <x:c r="O26" s="81"/>
      <x:c r="P26" s="81"/>
      <x:c r="Q26" s="81"/>
    </x:row>
    <x:row r="27">
      <x:c r="A27" s="81"/>
      <x:c r="B27" s="81"/>
      <x:c r="C27" s="81"/>
      <x:c r="D27" s="81"/>
      <x:c r="E27" s="81"/>
      <x:c r="F27" s="81"/>
      <x:c r="G27" s="81"/>
      <x:c r="H27" s="81"/>
      <x:c r="I27" s="81"/>
      <x:c r="J27" s="81"/>
      <x:c r="K27" s="81"/>
      <x:c r="L27" s="81"/>
      <x:c r="M27" s="81"/>
      <x:c r="N27" s="81"/>
      <x:c r="O27" s="81"/>
      <x:c r="P27" s="81"/>
      <x:c r="Q27" s="81"/>
    </x:row>
    <x:row r="28">
      <x:c r="A28" s="81"/>
      <x:c r="B28" s="81"/>
      <x:c r="C28" s="81"/>
      <x:c r="D28" s="81"/>
      <x:c r="E28" s="81"/>
      <x:c r="F28" s="81"/>
      <x:c r="G28" s="81"/>
      <x:c r="H28" s="81"/>
      <x:c r="I28" s="81"/>
      <x:c r="J28" s="81"/>
      <x:c r="K28" s="81"/>
      <x:c r="L28" s="81"/>
      <x:c r="M28" s="81"/>
      <x:c r="N28" s="81"/>
      <x:c r="O28" s="81"/>
      <x:c r="P28" s="81"/>
      <x:c r="Q28" s="81"/>
    </x:row>
    <x:row r="29">
      <x:c r="A29" s="81"/>
      <x:c r="B29" s="81"/>
      <x:c r="C29" s="81"/>
      <x:c r="D29" s="81"/>
      <x:c r="E29" s="81"/>
      <x:c r="F29" s="81"/>
      <x:c r="G29" s="81"/>
      <x:c r="H29" s="81"/>
      <x:c r="I29" s="81"/>
      <x:c r="J29" s="81"/>
      <x:c r="K29" s="81"/>
      <x:c r="L29" s="81"/>
      <x:c r="M29" s="81"/>
      <x:c r="N29" s="81"/>
      <x:c r="O29" s="81"/>
      <x:c r="P29" s="81"/>
      <x:c r="Q29" s="81"/>
    </x:row>
    <x:row r="30">
      <x:c r="A30" s="81"/>
      <x:c r="B30" s="81"/>
      <x:c r="C30" s="81"/>
      <x:c r="D30" s="81"/>
      <x:c r="E30" s="81"/>
      <x:c r="F30" s="81"/>
      <x:c r="G30" s="81"/>
      <x:c r="H30" s="81"/>
      <x:c r="I30" s="81"/>
      <x:c r="J30" s="81"/>
      <x:c r="K30" s="81"/>
      <x:c r="L30" s="81"/>
      <x:c r="M30" s="81"/>
      <x:c r="N30" s="81"/>
      <x:c r="O30" s="81"/>
      <x:c r="P30" s="81"/>
      <x:c r="Q30" s="81"/>
    </x:row>
    <x:row r="31">
      <x:c r="A31" s="81"/>
      <x:c r="B31" s="81"/>
      <x:c r="C31" s="81"/>
      <x:c r="D31" s="81"/>
      <x:c r="E31" s="81"/>
      <x:c r="F31" s="81"/>
      <x:c r="G31" s="81"/>
      <x:c r="H31" s="81"/>
      <x:c r="I31" s="81"/>
      <x:c r="J31" s="81"/>
      <x:c r="K31" s="81"/>
      <x:c r="L31" s="81"/>
      <x:c r="M31" s="81"/>
      <x:c r="N31" s="81"/>
      <x:c r="O31" s="81"/>
      <x:c r="P31" s="81"/>
      <x:c r="Q31" s="81"/>
    </x:row>
    <x:row r="32">
      <x:c r="A32" s="81"/>
      <x:c r="B32" s="81"/>
      <x:c r="C32" s="81"/>
      <x:c r="D32" s="81"/>
      <x:c r="E32" s="81"/>
      <x:c r="F32" s="81"/>
      <x:c r="G32" s="81"/>
      <x:c r="H32" s="81"/>
      <x:c r="I32" s="81"/>
      <x:c r="J32" s="81"/>
      <x:c r="K32" s="81"/>
      <x:c r="L32" s="81"/>
      <x:c r="M32" s="81"/>
      <x:c r="N32" s="81"/>
      <x:c r="O32" s="81"/>
      <x:c r="P32" s="81"/>
      <x:c r="Q32" s="81"/>
    </x:row>
    <x:row r="33">
      <x:c r="A33" s="81"/>
      <x:c r="B33" s="81"/>
      <x:c r="C33" s="81"/>
      <x:c r="D33" s="81"/>
      <x:c r="E33" s="81"/>
      <x:c r="F33" s="81"/>
      <x:c r="G33" s="81"/>
      <x:c r="H33" s="81"/>
      <x:c r="I33" s="81"/>
      <x:c r="J33" s="81"/>
      <x:c r="K33" s="81"/>
      <x:c r="L33" s="81"/>
      <x:c r="M33" s="81"/>
      <x:c r="N33" s="81"/>
      <x:c r="O33" s="81"/>
      <x:c r="P33" s="81"/>
      <x:c r="Q33" s="81"/>
    </x:row>
    <x:row r="34">
      <x:c r="A34" s="81"/>
      <x:c r="B34" s="81"/>
      <x:c r="C34" s="81"/>
      <x:c r="D34" s="81"/>
      <x:c r="E34" s="81"/>
      <x:c r="F34" s="81"/>
      <x:c r="G34" s="81"/>
      <x:c r="H34" s="81"/>
      <x:c r="I34" s="81"/>
      <x:c r="J34" s="81"/>
      <x:c r="K34" s="81"/>
      <x:c r="L34" s="81"/>
      <x:c r="M34" s="81"/>
      <x:c r="N34" s="81"/>
      <x:c r="O34" s="81"/>
      <x:c r="P34" s="81"/>
      <x:c r="Q34" s="81"/>
    </x:row>
    <x:row r="35">
      <x:c r="A35" s="81"/>
      <x:c r="B35" s="81"/>
      <x:c r="C35" s="81"/>
      <x:c r="D35" s="81"/>
      <x:c r="E35" s="81"/>
      <x:c r="F35" s="81"/>
      <x:c r="G35" s="81"/>
      <x:c r="H35" s="81"/>
      <x:c r="I35" s="81"/>
      <x:c r="J35" s="81"/>
      <x:c r="K35" s="81"/>
      <x:c r="L35" s="81"/>
      <x:c r="M35" s="81"/>
      <x:c r="N35" s="81"/>
      <x:c r="O35" s="81"/>
      <x:c r="P35" s="81"/>
      <x:c r="Q35" s="81"/>
    </x:row>
    <x:row r="36">
      <x:c r="A36" s="81"/>
      <x:c r="B36" s="81"/>
      <x:c r="C36" s="81"/>
      <x:c r="D36" s="81"/>
      <x:c r="E36" s="81"/>
      <x:c r="F36" s="81"/>
      <x:c r="G36" s="81"/>
      <x:c r="H36" s="81"/>
      <x:c r="I36" s="81"/>
      <x:c r="J36" s="81"/>
      <x:c r="K36" s="81"/>
      <x:c r="L36" s="81"/>
      <x:c r="M36" s="81"/>
      <x:c r="N36" s="81"/>
      <x:c r="O36" s="81"/>
      <x:c r="P36" s="81"/>
      <x:c r="Q36" s="81"/>
    </x:row>
    <x:row r="37">
      <x:c r="A37" s="81"/>
      <x:c r="B37" s="81"/>
      <x:c r="C37" s="81"/>
      <x:c r="D37" s="81"/>
      <x:c r="E37" s="81"/>
      <x:c r="F37" s="81"/>
      <x:c r="G37" s="81"/>
      <x:c r="H37" s="81"/>
      <x:c r="I37" s="81"/>
      <x:c r="J37" s="81"/>
      <x:c r="K37" s="81"/>
      <x:c r="L37" s="81"/>
      <x:c r="M37" s="81"/>
      <x:c r="N37" s="81"/>
      <x:c r="O37" s="81"/>
      <x:c r="P37" s="81"/>
      <x:c r="Q37" s="81"/>
    </x:row>
    <x:row r="38">
      <x:c r="A38" s="81"/>
      <x:c r="B38" s="81"/>
      <x:c r="C38" s="81"/>
      <x:c r="D38" s="81"/>
      <x:c r="E38" s="81"/>
      <x:c r="F38" s="81"/>
      <x:c r="G38" s="81"/>
      <x:c r="H38" s="81"/>
      <x:c r="I38" s="81"/>
      <x:c r="J38" s="81"/>
      <x:c r="K38" s="81"/>
      <x:c r="L38" s="81"/>
      <x:c r="M38" s="81"/>
      <x:c r="N38" s="81"/>
      <x:c r="O38" s="81"/>
      <x:c r="P38" s="81"/>
      <x:c r="Q38" s="81"/>
    </x:row>
    <x:row r="39">
      <x:c r="A39" s="81"/>
      <x:c r="B39" s="81"/>
      <x:c r="C39" s="81"/>
      <x:c r="D39" s="81"/>
      <x:c r="E39" s="81"/>
      <x:c r="F39" s="81"/>
      <x:c r="G39" s="81"/>
      <x:c r="H39" s="81"/>
      <x:c r="I39" s="81"/>
      <x:c r="J39" s="81"/>
      <x:c r="K39" s="81"/>
      <x:c r="L39" s="81"/>
      <x:c r="M39" s="81"/>
      <x:c r="N39" s="81"/>
      <x:c r="O39" s="81"/>
      <x:c r="P39" s="81"/>
      <x:c r="Q39" s="81"/>
    </x:row>
    <x:row r="40">
      <x:c r="A40" s="81"/>
      <x:c r="B40" s="81"/>
      <x:c r="C40" s="81"/>
      <x:c r="D40" s="81"/>
      <x:c r="E40" s="81"/>
      <x:c r="F40" s="81"/>
      <x:c r="G40" s="81"/>
      <x:c r="H40" s="81"/>
      <x:c r="I40" s="81"/>
      <x:c r="J40" s="81"/>
      <x:c r="K40" s="81"/>
      <x:c r="L40" s="81"/>
      <x:c r="M40" s="81"/>
      <x:c r="N40" s="81"/>
      <x:c r="O40" s="81"/>
      <x:c r="P40" s="81"/>
      <x:c r="Q40" s="81"/>
    </x:row>
  </x:sheetData>
  <x:mergeCells>
    <x:mergeCell ref="A1:I1"/>
    <x:mergeCell ref="A8:I8"/>
    <x:mergeCell ref="A9:I12"/>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55" hidden="0" customWidth="1"/>
    <x:col min="3" max="3" width="55" hidden="0" customWidth="1"/>
  </x:cols>
  <x:sheetData>
    <x:row r="1">
      <x:c r="A1" s="96" t="str">
        <x:v>Question</x:v>
      </x:c>
      <x:c r="B1" s="96" t="str">
        <x:v>Rater 1</x:v>
      </x:c>
      <x:c r="C1" s="96" t="str">
        <x:v>Rater 2</x:v>
      </x:c>
      <x:c r="D1" s="81"/>
      <x:c r="E1" s="81"/>
      <x:c r="F1" s="81"/>
      <x:c r="G1" s="81"/>
      <x:c r="H1" s="81"/>
      <x:c r="I1" s="81"/>
      <x:c r="J1" s="81"/>
      <x:c r="K1" s="81"/>
      <x:c r="L1" s="81"/>
      <x:c r="M1" s="81"/>
      <x:c r="N1" s="81"/>
      <x:c r="O1" s="81"/>
      <x:c r="P1" s="81"/>
      <x:c r="Q1" s="81"/>
    </x:row>
    <x:row r="2">
      <x:c r="A2" s="21" t="str">
        <x:v>Contains redundant topics?</x:v>
      </x:c>
      <x:c r="B2" s="21" t="str">
        <x:v>Yes (Minor overlap between Topics 1/3 and 2/6)</x:v>
      </x:c>
      <x:c r="C2" s="21" t="str">
        <x:v>Somewhat</x:v>
      </x:c>
      <x:c r="D2" s="81"/>
      <x:c r="E2" s="81"/>
      <x:c r="F2" s="81"/>
      <x:c r="G2" s="81"/>
      <x:c r="H2" s="81"/>
      <x:c r="I2" s="81"/>
      <x:c r="J2" s="81"/>
      <x:c r="K2" s="81"/>
      <x:c r="L2" s="81"/>
      <x:c r="M2" s="81"/>
      <x:c r="N2" s="81"/>
      <x:c r="O2" s="81"/>
      <x:c r="P2" s="81"/>
      <x:c r="Q2" s="81"/>
    </x:row>
    <x:row r="3">
      <x:c r="A3" s="21" t="str">
        <x:v>Merges different themes?</x:v>
      </x:c>
      <x:c r="B3" s="21" t="str">
        <x:v>Yes (Topic 1 mixes security with automated grading)</x:v>
      </x:c>
      <x:c r="C3" s="21" t="str">
        <x:v>Somewhat</x:v>
      </x:c>
      <x:c r="D3" s="81"/>
      <x:c r="E3" s="81"/>
      <x:c r="F3" s="81"/>
      <x:c r="G3" s="81"/>
      <x:c r="H3" s="81"/>
      <x:c r="I3" s="81"/>
      <x:c r="J3" s="81"/>
      <x:c r="K3" s="81"/>
      <x:c r="L3" s="81"/>
      <x:c r="M3" s="81"/>
      <x:c r="N3" s="81"/>
      <x:c r="O3" s="81"/>
      <x:c r="P3" s="81"/>
      <x:c r="Q3" s="81"/>
    </x:row>
    <x:row r="4">
      <x:c r="A4" s="21" t="str">
        <x:v>Splits one theme unnecessarily?</x:v>
      </x:c>
      <x:c r="B4" s="21" t="str">
        <x:v>No</x:v>
      </x:c>
      <x:c r="C4" s="21" t="str">
        <x:v>Somewhat</x:v>
      </x:c>
      <x:c r="D4" s="81"/>
      <x:c r="E4" s="81"/>
      <x:c r="F4" s="81"/>
      <x:c r="G4" s="81"/>
      <x:c r="H4" s="81"/>
      <x:c r="I4" s="81"/>
      <x:c r="J4" s="81"/>
      <x:c r="K4" s="81"/>
      <x:c r="L4" s="81"/>
      <x:c r="M4" s="81"/>
      <x:c r="N4" s="81"/>
      <x:c r="O4" s="81"/>
      <x:c r="P4" s="81"/>
      <x:c r="Q4" s="81"/>
    </x:row>
    <x:row r="5">
      <x:c r="A5" s="21" t="str">
        <x:v>Every topic substantively meaningful?</x:v>
      </x:c>
      <x:c r="B5" s="21" t="str">
        <x:v>Yes</x:v>
      </x:c>
      <x:c r="C5" s="21" t="str">
        <x:v>Mostly</x:v>
      </x:c>
      <x:c r="D5" s="81"/>
      <x:c r="E5" s="81"/>
      <x:c r="F5" s="81"/>
      <x:c r="G5" s="81"/>
      <x:c r="H5" s="81"/>
      <x:c r="I5" s="81"/>
      <x:c r="J5" s="81"/>
      <x:c r="K5" s="81"/>
      <x:c r="L5" s="81"/>
      <x:c r="M5" s="81"/>
      <x:c r="N5" s="81"/>
      <x:c r="O5" s="81"/>
      <x:c r="P5" s="81"/>
      <x:c r="Q5" s="81"/>
    </x:row>
    <x:row r="6" ht="100" customHeight="1">
      <x:c r="A6" s="21" t="str">
        <x:v>Overall notes</x:v>
      </x:c>
      <x:c r="B6" s="21" t="str">
        <x:v>The eight-topic structure captures the dominant research domains well. Topic 4 is slightly broad, and Topic 1 inappropriately combines malicious package hallucination concepts with automated educational assessment.</x:v>
      </x:c>
      <x:c r="C6" s="21" t="str">
        <x:v>Topics 5 (education) and 3 (hallucination detection/mitigation methods) are the cleanest and most distinct. Topic 1 (package hallucination) has very strong, distinctive terminology but somewhat noisy document support. Security/quality-related content appears split across Topics 2 and 6 without a fully clean boundary (2 leans class-level/API benchmarking + safety-critical, 6 leans vulnerability/complexity metrics + non-determinism), and practitioner/developer-experience content is similarly spread across Topics 0, 4, and 7. Topic 2 in particular reads as a merge of class-level completion benchmarking with general security vulnerability rather than one coherent concept. Overall the 8-topic full-text solution surfaces some genuinely fine-grained and useful distinctions (e.g., isolating package/supply-chain hallucination as its own topic) but also shows overlap among the security/quality/practitioner-experience topics that a reader would likely perceive as related rather than fully separate.</x:v>
      </x:c>
      <x:c r="D6" s="81"/>
      <x:c r="E6" s="81"/>
      <x:c r="F6" s="81"/>
      <x:c r="G6" s="81"/>
      <x:c r="H6" s="81"/>
      <x:c r="I6" s="81"/>
      <x:c r="J6" s="81"/>
      <x:c r="K6" s="81"/>
      <x:c r="L6" s="81"/>
      <x:c r="M6" s="81"/>
      <x:c r="N6" s="81"/>
      <x:c r="O6" s="81"/>
      <x:c r="P6" s="81"/>
      <x:c r="Q6" s="81"/>
    </x:row>
    <x:row r="7">
      <x:c r="A7" s="81"/>
      <x:c r="B7" s="81"/>
      <x:c r="C7" s="81"/>
      <x:c r="D7" s="81"/>
      <x:c r="E7" s="81"/>
      <x:c r="F7" s="81"/>
      <x:c r="G7" s="81"/>
      <x:c r="H7" s="81"/>
      <x:c r="I7" s="81"/>
      <x:c r="J7" s="81"/>
      <x:c r="K7" s="81"/>
      <x:c r="L7" s="81"/>
      <x:c r="M7" s="81"/>
      <x:c r="N7" s="81"/>
      <x:c r="O7" s="81"/>
      <x:c r="P7" s="81"/>
      <x:c r="Q7" s="81"/>
    </x:row>
    <x:row r="8">
      <x:c r="A8" s="106" t="str">
        <x:v>Combined Model-Level Evaluation</x:v>
      </x:c>
      <x:c r="B8" s="106"/>
      <x:c r="C8" s="106"/>
      <x:c r="D8" s="81"/>
      <x:c r="E8" s="81"/>
      <x:c r="F8" s="81"/>
      <x:c r="G8" s="81"/>
      <x:c r="H8" s="81"/>
      <x:c r="I8" s="81"/>
      <x:c r="J8" s="81"/>
      <x:c r="K8" s="81"/>
      <x:c r="L8" s="81"/>
      <x:c r="M8" s="81"/>
      <x:c r="N8" s="81"/>
      <x:c r="O8" s="81"/>
      <x:c r="P8" s="81"/>
      <x:c r="Q8" s="81"/>
    </x:row>
    <x:row r="9">
      <x:c r="A9" s="21" t="str">
        <x:v>Both raters consider the eight-topic solution substantively meaningful overall, but both identify overlap or merging among some topics. The main recurring concern is the boundary between security/quality topics (especially Topics 2 and 6) and, to a lesser extent, practitioner/developer-experience topics (Topics 0, 4, and 7). This supports using the full-text solution as a fine-grained sensitivity analysis rather than presenting eight topics as fully independent conceptual categories.</x:v>
      </x:c>
      <x:c r="B9" s="21"/>
      <x:c r="C9" s="21"/>
      <x:c r="D9" s="81"/>
      <x:c r="E9" s="81"/>
      <x:c r="F9" s="81"/>
      <x:c r="G9" s="81"/>
      <x:c r="H9" s="81"/>
      <x:c r="I9" s="81"/>
      <x:c r="J9" s="81"/>
      <x:c r="K9" s="81"/>
      <x:c r="L9" s="81"/>
      <x:c r="M9" s="81"/>
      <x:c r="N9" s="81"/>
      <x:c r="O9" s="81"/>
      <x:c r="P9" s="81"/>
      <x:c r="Q9" s="81"/>
    </x:row>
    <x:row r="10">
      <x:c r="A10" s="21"/>
      <x:c r="B10" s="21"/>
      <x:c r="C10" s="21"/>
      <x:c r="D10" s="81"/>
      <x:c r="E10" s="81"/>
      <x:c r="F10" s="81"/>
      <x:c r="G10" s="81"/>
      <x:c r="H10" s="81"/>
      <x:c r="I10" s="81"/>
      <x:c r="J10" s="81"/>
      <x:c r="K10" s="81"/>
      <x:c r="L10" s="81"/>
      <x:c r="M10" s="81"/>
      <x:c r="N10" s="81"/>
      <x:c r="O10" s="81"/>
      <x:c r="P10" s="81"/>
      <x:c r="Q10" s="81"/>
    </x:row>
    <x:row r="11">
      <x:c r="A11" s="21"/>
      <x:c r="B11" s="21"/>
      <x:c r="C11" s="21"/>
      <x:c r="D11" s="81"/>
      <x:c r="E11" s="81"/>
      <x:c r="F11" s="81"/>
      <x:c r="G11" s="81"/>
      <x:c r="H11" s="81"/>
      <x:c r="I11" s="81"/>
      <x:c r="J11" s="81"/>
      <x:c r="K11" s="81"/>
      <x:c r="L11" s="81"/>
      <x:c r="M11" s="81"/>
      <x:c r="N11" s="81"/>
      <x:c r="O11" s="81"/>
      <x:c r="P11" s="81"/>
      <x:c r="Q11" s="81"/>
    </x:row>
    <x:row r="12">
      <x:c r="A12" s="21"/>
      <x:c r="B12" s="21"/>
      <x:c r="C12" s="21"/>
      <x:c r="D12" s="81"/>
      <x:c r="E12" s="81"/>
      <x:c r="F12" s="81"/>
      <x:c r="G12" s="81"/>
      <x:c r="H12" s="81"/>
      <x:c r="I12" s="81"/>
      <x:c r="J12" s="81"/>
      <x:c r="K12" s="81"/>
      <x:c r="L12" s="81"/>
      <x:c r="M12" s="81"/>
      <x:c r="N12" s="81"/>
      <x:c r="O12" s="81"/>
      <x:c r="P12" s="81"/>
      <x:c r="Q12" s="81"/>
    </x:row>
    <x:row r="13">
      <x:c r="A13" s="81"/>
      <x:c r="B13" s="81"/>
      <x:c r="C13" s="81"/>
      <x:c r="D13" s="81"/>
      <x:c r="E13" s="81"/>
      <x:c r="F13" s="81"/>
      <x:c r="G13" s="81"/>
      <x:c r="H13" s="81"/>
      <x:c r="I13" s="81"/>
      <x:c r="J13" s="81"/>
      <x:c r="K13" s="81"/>
      <x:c r="L13" s="81"/>
      <x:c r="M13" s="81"/>
      <x:c r="N13" s="81"/>
      <x:c r="O13" s="81"/>
      <x:c r="P13" s="81"/>
      <x:c r="Q13" s="81"/>
    </x:row>
    <x:row r="14">
      <x:c r="A14" s="81"/>
      <x:c r="B14" s="81"/>
      <x:c r="C14" s="81"/>
      <x:c r="D14" s="81"/>
      <x:c r="E14" s="81"/>
      <x:c r="F14" s="81"/>
      <x:c r="G14" s="81"/>
      <x:c r="H14" s="81"/>
      <x:c r="I14" s="81"/>
      <x:c r="J14" s="81"/>
      <x:c r="K14" s="81"/>
      <x:c r="L14" s="81"/>
      <x:c r="M14" s="81"/>
      <x:c r="N14" s="81"/>
      <x:c r="O14" s="81"/>
      <x:c r="P14" s="81"/>
      <x:c r="Q14" s="81"/>
    </x:row>
    <x:row r="15">
      <x:c r="A15" s="81"/>
      <x:c r="B15" s="81"/>
      <x:c r="C15" s="81"/>
      <x:c r="D15" s="81"/>
      <x:c r="E15" s="81"/>
      <x:c r="F15" s="81"/>
      <x:c r="G15" s="81"/>
      <x:c r="H15" s="81"/>
      <x:c r="I15" s="81"/>
      <x:c r="J15" s="81"/>
      <x:c r="K15" s="81"/>
      <x:c r="L15" s="81"/>
      <x:c r="M15" s="81"/>
      <x:c r="N15" s="81"/>
      <x:c r="O15" s="81"/>
      <x:c r="P15" s="81"/>
      <x:c r="Q15" s="81"/>
    </x:row>
    <x:row r="16">
      <x:c r="A16" s="81"/>
      <x:c r="B16" s="81"/>
      <x:c r="C16" s="81"/>
      <x:c r="D16" s="81"/>
      <x:c r="E16" s="81"/>
      <x:c r="F16" s="81"/>
      <x:c r="G16" s="81"/>
      <x:c r="H16" s="81"/>
      <x:c r="I16" s="81"/>
      <x:c r="J16" s="81"/>
      <x:c r="K16" s="81"/>
      <x:c r="L16" s="81"/>
      <x:c r="M16" s="81"/>
      <x:c r="N16" s="81"/>
      <x:c r="O16" s="81"/>
      <x:c r="P16" s="81"/>
      <x:c r="Q16" s="81"/>
    </x:row>
    <x:row r="17">
      <x:c r="A17" s="81"/>
      <x:c r="B17" s="81"/>
      <x:c r="C17" s="81"/>
      <x:c r="D17" s="81"/>
      <x:c r="E17" s="81"/>
      <x:c r="F17" s="81"/>
      <x:c r="G17" s="81"/>
      <x:c r="H17" s="81"/>
      <x:c r="I17" s="81"/>
      <x:c r="J17" s="81"/>
      <x:c r="K17" s="81"/>
      <x:c r="L17" s="81"/>
      <x:c r="M17" s="81"/>
      <x:c r="N17" s="81"/>
      <x:c r="O17" s="81"/>
      <x:c r="P17" s="81"/>
      <x:c r="Q17" s="81"/>
    </x:row>
    <x:row r="18">
      <x:c r="A18" s="81"/>
      <x:c r="B18" s="81"/>
      <x:c r="C18" s="81"/>
      <x:c r="D18" s="81"/>
      <x:c r="E18" s="81"/>
      <x:c r="F18" s="81"/>
      <x:c r="G18" s="81"/>
      <x:c r="H18" s="81"/>
      <x:c r="I18" s="81"/>
      <x:c r="J18" s="81"/>
      <x:c r="K18" s="81"/>
      <x:c r="L18" s="81"/>
      <x:c r="M18" s="81"/>
      <x:c r="N18" s="81"/>
      <x:c r="O18" s="81"/>
      <x:c r="P18" s="81"/>
      <x:c r="Q18" s="81"/>
    </x:row>
    <x:row r="19">
      <x:c r="A19" s="81"/>
      <x:c r="B19" s="81"/>
      <x:c r="C19" s="81"/>
      <x:c r="D19" s="81"/>
      <x:c r="E19" s="81"/>
      <x:c r="F19" s="81"/>
      <x:c r="G19" s="81"/>
      <x:c r="H19" s="81"/>
      <x:c r="I19" s="81"/>
      <x:c r="J19" s="81"/>
      <x:c r="K19" s="81"/>
      <x:c r="L19" s="81"/>
      <x:c r="M19" s="81"/>
      <x:c r="N19" s="81"/>
      <x:c r="O19" s="81"/>
      <x:c r="P19" s="81"/>
      <x:c r="Q19" s="81"/>
    </x:row>
    <x:row r="20">
      <x:c r="A20" s="81"/>
      <x:c r="B20" s="81"/>
      <x:c r="C20" s="81"/>
      <x:c r="D20" s="81"/>
      <x:c r="E20" s="81"/>
      <x:c r="F20" s="81"/>
      <x:c r="G20" s="81"/>
      <x:c r="H20" s="81"/>
      <x:c r="I20" s="81"/>
      <x:c r="J20" s="81"/>
      <x:c r="K20" s="81"/>
      <x:c r="L20" s="81"/>
      <x:c r="M20" s="81"/>
      <x:c r="N20" s="81"/>
      <x:c r="O20" s="81"/>
      <x:c r="P20" s="81"/>
      <x:c r="Q20" s="81"/>
    </x:row>
    <x:row r="21">
      <x:c r="A21" s="81"/>
      <x:c r="B21" s="81"/>
      <x:c r="C21" s="81"/>
      <x:c r="D21" s="81"/>
      <x:c r="E21" s="81"/>
      <x:c r="F21" s="81"/>
      <x:c r="G21" s="81"/>
      <x:c r="H21" s="81"/>
      <x:c r="I21" s="81"/>
      <x:c r="J21" s="81"/>
      <x:c r="K21" s="81"/>
      <x:c r="L21" s="81"/>
      <x:c r="M21" s="81"/>
      <x:c r="N21" s="81"/>
      <x:c r="O21" s="81"/>
      <x:c r="P21" s="81"/>
      <x:c r="Q21" s="81"/>
    </x:row>
    <x:row r="22">
      <x:c r="A22" s="81"/>
      <x:c r="B22" s="81"/>
      <x:c r="C22" s="81"/>
      <x:c r="D22" s="81"/>
      <x:c r="E22" s="81"/>
      <x:c r="F22" s="81"/>
      <x:c r="G22" s="81"/>
      <x:c r="H22" s="81"/>
      <x:c r="I22" s="81"/>
      <x:c r="J22" s="81"/>
      <x:c r="K22" s="81"/>
      <x:c r="L22" s="81"/>
      <x:c r="M22" s="81"/>
      <x:c r="N22" s="81"/>
      <x:c r="O22" s="81"/>
      <x:c r="P22" s="81"/>
      <x:c r="Q22" s="81"/>
    </x:row>
    <x:row r="23">
      <x:c r="A23" s="81"/>
      <x:c r="B23" s="81"/>
      <x:c r="C23" s="81"/>
      <x:c r="D23" s="81"/>
      <x:c r="E23" s="81"/>
      <x:c r="F23" s="81"/>
      <x:c r="G23" s="81"/>
      <x:c r="H23" s="81"/>
      <x:c r="I23" s="81"/>
      <x:c r="J23" s="81"/>
      <x:c r="K23" s="81"/>
      <x:c r="L23" s="81"/>
      <x:c r="M23" s="81"/>
      <x:c r="N23" s="81"/>
      <x:c r="O23" s="81"/>
      <x:c r="P23" s="81"/>
      <x:c r="Q23" s="81"/>
    </x:row>
    <x:row r="24">
      <x:c r="A24" s="81"/>
      <x:c r="B24" s="81"/>
      <x:c r="C24" s="81"/>
      <x:c r="D24" s="81"/>
      <x:c r="E24" s="81"/>
      <x:c r="F24" s="81"/>
      <x:c r="G24" s="81"/>
      <x:c r="H24" s="81"/>
      <x:c r="I24" s="81"/>
      <x:c r="J24" s="81"/>
      <x:c r="K24" s="81"/>
      <x:c r="L24" s="81"/>
      <x:c r="M24" s="81"/>
      <x:c r="N24" s="81"/>
      <x:c r="O24" s="81"/>
      <x:c r="P24" s="81"/>
      <x:c r="Q24" s="81"/>
    </x:row>
    <x:row r="25">
      <x:c r="A25" s="81"/>
      <x:c r="B25" s="81"/>
      <x:c r="C25" s="81"/>
      <x:c r="D25" s="81"/>
      <x:c r="E25" s="81"/>
      <x:c r="F25" s="81"/>
      <x:c r="G25" s="81"/>
      <x:c r="H25" s="81"/>
      <x:c r="I25" s="81"/>
      <x:c r="J25" s="81"/>
      <x:c r="K25" s="81"/>
      <x:c r="L25" s="81"/>
      <x:c r="M25" s="81"/>
      <x:c r="N25" s="81"/>
      <x:c r="O25" s="81"/>
      <x:c r="P25" s="81"/>
      <x:c r="Q25" s="81"/>
    </x:row>
    <x:row r="26">
      <x:c r="A26" s="81"/>
      <x:c r="B26" s="81"/>
      <x:c r="C26" s="81"/>
      <x:c r="D26" s="81"/>
      <x:c r="E26" s="81"/>
      <x:c r="F26" s="81"/>
      <x:c r="G26" s="81"/>
      <x:c r="H26" s="81"/>
      <x:c r="I26" s="81"/>
      <x:c r="J26" s="81"/>
      <x:c r="K26" s="81"/>
      <x:c r="L26" s="81"/>
      <x:c r="M26" s="81"/>
      <x:c r="N26" s="81"/>
      <x:c r="O26" s="81"/>
      <x:c r="P26" s="81"/>
      <x:c r="Q26" s="81"/>
    </x:row>
    <x:row r="27">
      <x:c r="A27" s="81"/>
      <x:c r="B27" s="81"/>
      <x:c r="C27" s="81"/>
      <x:c r="D27" s="81"/>
      <x:c r="E27" s="81"/>
      <x:c r="F27" s="81"/>
      <x:c r="G27" s="81"/>
      <x:c r="H27" s="81"/>
      <x:c r="I27" s="81"/>
      <x:c r="J27" s="81"/>
      <x:c r="K27" s="81"/>
      <x:c r="L27" s="81"/>
      <x:c r="M27" s="81"/>
      <x:c r="N27" s="81"/>
      <x:c r="O27" s="81"/>
      <x:c r="P27" s="81"/>
      <x:c r="Q27" s="81"/>
    </x:row>
    <x:row r="28">
      <x:c r="A28" s="81"/>
      <x:c r="B28" s="81"/>
      <x:c r="C28" s="81"/>
      <x:c r="D28" s="81"/>
      <x:c r="E28" s="81"/>
      <x:c r="F28" s="81"/>
      <x:c r="G28" s="81"/>
      <x:c r="H28" s="81"/>
      <x:c r="I28" s="81"/>
      <x:c r="J28" s="81"/>
      <x:c r="K28" s="81"/>
      <x:c r="L28" s="81"/>
      <x:c r="M28" s="81"/>
      <x:c r="N28" s="81"/>
      <x:c r="O28" s="81"/>
      <x:c r="P28" s="81"/>
      <x:c r="Q28" s="81"/>
    </x:row>
    <x:row r="29">
      <x:c r="A29" s="81"/>
      <x:c r="B29" s="81"/>
      <x:c r="C29" s="81"/>
      <x:c r="D29" s="81"/>
      <x:c r="E29" s="81"/>
      <x:c r="F29" s="81"/>
      <x:c r="G29" s="81"/>
      <x:c r="H29" s="81"/>
      <x:c r="I29" s="81"/>
      <x:c r="J29" s="81"/>
      <x:c r="K29" s="81"/>
      <x:c r="L29" s="81"/>
      <x:c r="M29" s="81"/>
      <x:c r="N29" s="81"/>
      <x:c r="O29" s="81"/>
      <x:c r="P29" s="81"/>
      <x:c r="Q29" s="81"/>
    </x:row>
    <x:row r="30">
      <x:c r="A30" s="81"/>
      <x:c r="B30" s="81"/>
      <x:c r="C30" s="81"/>
      <x:c r="D30" s="81"/>
      <x:c r="E30" s="81"/>
      <x:c r="F30" s="81"/>
      <x:c r="G30" s="81"/>
      <x:c r="H30" s="81"/>
      <x:c r="I30" s="81"/>
      <x:c r="J30" s="81"/>
      <x:c r="K30" s="81"/>
      <x:c r="L30" s="81"/>
      <x:c r="M30" s="81"/>
      <x:c r="N30" s="81"/>
      <x:c r="O30" s="81"/>
      <x:c r="P30" s="81"/>
      <x:c r="Q30" s="81"/>
    </x:row>
    <x:row r="31">
      <x:c r="A31" s="81"/>
      <x:c r="B31" s="81"/>
      <x:c r="C31" s="81"/>
      <x:c r="D31" s="81"/>
      <x:c r="E31" s="81"/>
      <x:c r="F31" s="81"/>
      <x:c r="G31" s="81"/>
      <x:c r="H31" s="81"/>
      <x:c r="I31" s="81"/>
      <x:c r="J31" s="81"/>
      <x:c r="K31" s="81"/>
      <x:c r="L31" s="81"/>
      <x:c r="M31" s="81"/>
      <x:c r="N31" s="81"/>
      <x:c r="O31" s="81"/>
      <x:c r="P31" s="81"/>
      <x:c r="Q31" s="81"/>
    </x:row>
    <x:row r="32">
      <x:c r="A32" s="81"/>
      <x:c r="B32" s="81"/>
      <x:c r="C32" s="81"/>
      <x:c r="D32" s="81"/>
      <x:c r="E32" s="81"/>
      <x:c r="F32" s="81"/>
      <x:c r="G32" s="81"/>
      <x:c r="H32" s="81"/>
      <x:c r="I32" s="81"/>
      <x:c r="J32" s="81"/>
      <x:c r="K32" s="81"/>
      <x:c r="L32" s="81"/>
      <x:c r="M32" s="81"/>
      <x:c r="N32" s="81"/>
      <x:c r="O32" s="81"/>
      <x:c r="P32" s="81"/>
      <x:c r="Q32" s="81"/>
    </x:row>
    <x:row r="33">
      <x:c r="A33" s="81"/>
      <x:c r="B33" s="81"/>
      <x:c r="C33" s="81"/>
      <x:c r="D33" s="81"/>
      <x:c r="E33" s="81"/>
      <x:c r="F33" s="81"/>
      <x:c r="G33" s="81"/>
      <x:c r="H33" s="81"/>
      <x:c r="I33" s="81"/>
      <x:c r="J33" s="81"/>
      <x:c r="K33" s="81"/>
      <x:c r="L33" s="81"/>
      <x:c r="M33" s="81"/>
      <x:c r="N33" s="81"/>
      <x:c r="O33" s="81"/>
      <x:c r="P33" s="81"/>
      <x:c r="Q33" s="81"/>
    </x:row>
    <x:row r="34">
      <x:c r="A34" s="81"/>
      <x:c r="B34" s="81"/>
      <x:c r="C34" s="81"/>
      <x:c r="D34" s="81"/>
      <x:c r="E34" s="81"/>
      <x:c r="F34" s="81"/>
      <x:c r="G34" s="81"/>
      <x:c r="H34" s="81"/>
      <x:c r="I34" s="81"/>
      <x:c r="J34" s="81"/>
      <x:c r="K34" s="81"/>
      <x:c r="L34" s="81"/>
      <x:c r="M34" s="81"/>
      <x:c r="N34" s="81"/>
      <x:c r="O34" s="81"/>
      <x:c r="P34" s="81"/>
      <x:c r="Q34" s="81"/>
    </x:row>
    <x:row r="35">
      <x:c r="A35" s="81"/>
      <x:c r="B35" s="81"/>
      <x:c r="C35" s="81"/>
      <x:c r="D35" s="81"/>
      <x:c r="E35" s="81"/>
      <x:c r="F35" s="81"/>
      <x:c r="G35" s="81"/>
      <x:c r="H35" s="81"/>
      <x:c r="I35" s="81"/>
      <x:c r="J35" s="81"/>
      <x:c r="K35" s="81"/>
      <x:c r="L35" s="81"/>
      <x:c r="M35" s="81"/>
      <x:c r="N35" s="81"/>
      <x:c r="O35" s="81"/>
      <x:c r="P35" s="81"/>
      <x:c r="Q35" s="81"/>
    </x:row>
    <x:row r="36">
      <x:c r="A36" s="81"/>
      <x:c r="B36" s="81"/>
      <x:c r="C36" s="81"/>
      <x:c r="D36" s="81"/>
      <x:c r="E36" s="81"/>
      <x:c r="F36" s="81"/>
      <x:c r="G36" s="81"/>
      <x:c r="H36" s="81"/>
      <x:c r="I36" s="81"/>
      <x:c r="J36" s="81"/>
      <x:c r="K36" s="81"/>
      <x:c r="L36" s="81"/>
      <x:c r="M36" s="81"/>
      <x:c r="N36" s="81"/>
      <x:c r="O36" s="81"/>
      <x:c r="P36" s="81"/>
      <x:c r="Q36" s="81"/>
    </x:row>
    <x:row r="37">
      <x:c r="A37" s="81"/>
      <x:c r="B37" s="81"/>
      <x:c r="C37" s="81"/>
      <x:c r="D37" s="81"/>
      <x:c r="E37" s="81"/>
      <x:c r="F37" s="81"/>
      <x:c r="G37" s="81"/>
      <x:c r="H37" s="81"/>
      <x:c r="I37" s="81"/>
      <x:c r="J37" s="81"/>
      <x:c r="K37" s="81"/>
      <x:c r="L37" s="81"/>
      <x:c r="M37" s="81"/>
      <x:c r="N37" s="81"/>
      <x:c r="O37" s="81"/>
      <x:c r="P37" s="81"/>
      <x:c r="Q37" s="81"/>
    </x:row>
    <x:row r="38">
      <x:c r="A38" s="81"/>
      <x:c r="B38" s="81"/>
      <x:c r="C38" s="81"/>
      <x:c r="D38" s="81"/>
      <x:c r="E38" s="81"/>
      <x:c r="F38" s="81"/>
      <x:c r="G38" s="81"/>
      <x:c r="H38" s="81"/>
      <x:c r="I38" s="81"/>
      <x:c r="J38" s="81"/>
      <x:c r="K38" s="81"/>
      <x:c r="L38" s="81"/>
      <x:c r="M38" s="81"/>
      <x:c r="N38" s="81"/>
      <x:c r="O38" s="81"/>
      <x:c r="P38" s="81"/>
      <x:c r="Q38" s="81"/>
    </x:row>
    <x:row r="39">
      <x:c r="A39" s="81"/>
      <x:c r="B39" s="81"/>
      <x:c r="C39" s="81"/>
      <x:c r="D39" s="81"/>
      <x:c r="E39" s="81"/>
      <x:c r="F39" s="81"/>
      <x:c r="G39" s="81"/>
      <x:c r="H39" s="81"/>
      <x:c r="I39" s="81"/>
      <x:c r="J39" s="81"/>
      <x:c r="K39" s="81"/>
      <x:c r="L39" s="81"/>
      <x:c r="M39" s="81"/>
      <x:c r="N39" s="81"/>
      <x:c r="O39" s="81"/>
      <x:c r="P39" s="81"/>
      <x:c r="Q39" s="81"/>
    </x:row>
    <x:row r="40">
      <x:c r="A40" s="81"/>
      <x:c r="B40" s="81"/>
      <x:c r="C40" s="81"/>
      <x:c r="D40" s="81"/>
      <x:c r="E40" s="81"/>
      <x:c r="F40" s="81"/>
      <x:c r="G40" s="81"/>
      <x:c r="H40" s="81"/>
      <x:c r="I40" s="81"/>
      <x:c r="J40" s="81"/>
      <x:c r="K40" s="81"/>
      <x:c r="L40" s="81"/>
      <x:c r="M40" s="81"/>
      <x:c r="N40" s="81"/>
      <x:c r="O40" s="81"/>
      <x:c r="P40" s="81"/>
      <x:c r="Q40" s="81"/>
    </x:row>
  </x:sheetData>
  <x:mergeCells>
    <x:mergeCell ref="A8:C8"/>
    <x:mergeCell ref="A9:C12"/>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2" hidden="0" customWidth="1"/>
    <x:col min="3" max="3" width="48" hidden="0" customWidth="1"/>
    <x:col min="4" max="4" width="48" hidden="0" customWidth="1"/>
    <x:col min="5" max="5" width="48" hidden="0" customWidth="1"/>
    <x:col min="6" max="6" width="34" hidden="0" customWidth="1"/>
    <x:col min="7" max="7" width="34" hidden="0" customWidth="1"/>
    <x:col min="8" max="8" width="14" hidden="0" customWidth="1"/>
    <x:col min="9" max="9" width="14" hidden="0" customWidth="1"/>
    <x:col min="10" max="10" width="14" hidden="0" customWidth="1"/>
    <x:col min="11" max="11" width="18" hidden="0" customWidth="1"/>
    <x:col min="12" max="12" width="18" hidden="0" customWidth="1"/>
    <x:col min="13" max="13" width="18" hidden="0" customWidth="1"/>
    <x:col min="14" max="14" width="18" hidden="0" customWidth="1"/>
  </x:cols>
  <x:sheetData>
    <x:row r="1">
      <x:c r="A1" s="70" t="str">
        <x:v>blinded_model</x:v>
      </x:c>
      <x:c r="B1" s="70" t="str">
        <x:v>topic_id</x:v>
      </x:c>
      <x:c r="C1" s="70" t="str">
        <x:v>top_20_probability_terms</x:v>
      </x:c>
      <x:c r="D1" s="70" t="str">
        <x:v>top_20_frex_terms</x:v>
      </x:c>
      <x:c r="E1" s="70" t="str">
        <x:v>top_loading_studies</x:v>
      </x:c>
      <x:c r="F1" s="70" t="str">
        <x:v>proposed_label</x:v>
      </x:c>
      <x:c r="G1" s="70" t="str">
        <x:v>short_description</x:v>
      </x:c>
      <x:c r="H1" s="70" t="str">
        <x:v>coherence_1_5</x:v>
      </x:c>
      <x:c r="I1" s="70" t="str">
        <x:v>interpretability_1_5</x:v>
      </x:c>
      <x:c r="J1" s="70" t="str">
        <x:v>distinctiveness_1_5</x:v>
      </x:c>
      <x:c r="K1" s="70" t="str">
        <x:v>topic_validity_flag</x:v>
      </x:c>
      <x:c r="L1" s="70" t="str">
        <x:v>word_intrusion_correct</x:v>
      </x:c>
      <x:c r="M1" s="70" t="str">
        <x:v>document_intrusion_correct</x:v>
      </x:c>
      <x:c r="N1" s="70" t="str">
        <x:v>notes</x:v>
      </x:c>
    </x:row>
    <x:row r="2">
      <x:c r="A2" s="20" t="str">
        <x:v>A</x:v>
      </x:c>
      <x:c r="B2" s="20" t="str">
        <x:v>0</x:v>
      </x:c>
      <x:c r="C2" s="20" t="str">
        <x:v>participant, copilot, developer, suggestion, experience, community, trust, interaction, online, programmer, share, mode, discussion, github, comment, ask, want, power, chatgpt, say</x:v>
      </x:c>
      <x:c r="D2" s="20" t="str">
        <x:v>trust, community, copilot, acceleration, artifact, dialogue, say, video, participant, sharing, helpful, company, feel, thing, online, experience, lot, think, familiar, expectation</x:v>
      </x:c>
      <x:c r="E2" s="20" t="str">
        <x:v>S62 (“It would work for me too”: How Online Communities Shape Software Developers’ Trust in AI-Powered Code Generation Tools); S45 (Grounded Copilot: How Programmers Interact with Code-Generating Models); S14 (Beyond Code Generation: An Observational Study of ChatGPT Usage in Software Engineering Practice); S33 (Expectation vs. Experience: Evaluating the Usability of Code Generation Tools Powered by Large Language Models); S27 (Developer Experiences with a Contextualized AI Coding Assistant: Usability, Expectations, and Outcomes); S39 (Exploring Early Adopters’ Perceptions of ChatGPT as a Code Generation Tool); S61 (Cracking the Code: Co-coding with AI in Creative Programming Education); S52 (Poisoned ChatGPT Finds Work for Idle Hands: Exploring Developers’ Coding Practices with Insecure Suggestions from Poisoned AI Models); S44 (Gauging Tech Community Acceptance of Rapid Prototyping in Unfamiliar Programming Languages using LLM Chatbots); S19 (Case study: using AI-assisted code generation in mobile teams)</x:v>
      </x:c>
      <x:c r="F2" s="20" t="str">
        <x:v>Developer Experience &amp; Trust</x:v>
      </x:c>
      <x:c r="G2" s="20" t="str">
        <x:v>Focuses on how developers interact with AI assistants, emphasizing usability, trust, and community expectations.</x:v>
      </x:c>
      <x:c r="H2" s="20" t="str">
        <x:v>5</x:v>
      </x:c>
      <x:c r="I2" s="20" t="str">
        <x:v>5</x:v>
      </x:c>
      <x:c r="J2" s="20" t="str">
        <x:v>5</x:v>
      </x:c>
      <x:c r="K2" s="20" t="str"/>
      <x:c r="L2" s="20" t="str"/>
      <x:c r="M2" s="20" t="str"/>
      <x:c r="N2" s="20" t="str"/>
    </x:row>
    <x:row r="3">
      <x:c r="A3" s="20" t="str">
        <x:v>A</x:v>
      </x:c>
      <x:c r="B3" s="20" t="str">
        <x:v>1</x:v>
      </x:c>
      <x:c r="C3" s="20" t="str">
        <x:v>package, hallucination, rate, grader, javascript, repository, malicious, hallucinate, open, sample, parameter, rubric, instruction, name, attack, reduce, low, size, creative, deepseek</x:v>
      </x:c>
      <x:c r="D3" s="20" t="str">
        <x:v>grader, package, rubric, malicious, npm, deepseek, actor, grading, hallucinate, rust, interpretation, pypi, parallel, compromise, chain, confusion, codellama, register, symbolic, exploit</x:v>
      </x:c>
      <x:c r="E3" s="20" t="str">
        <x:v>S58 (We Have a Package for You! A Comprehensive Analysis of Package Hallucinations by Code Generating LLMs); S66 (Importing Phantoms: Measuring LLM Package Hallucination Vulnerabilities); S46 (Hallucinating AI Hijacking Attack: Large Language Models and Malicious Code Recommenders); S64 (Pair programming with ChatGPT for sampling and estimation of copulas); S10 (Applying Large Language Models to Enhance the Assessment of Parallel Functional Programming Assignments); S65 (HAVEN: Hallucination-Mitigated LLM for Verilog Code Generation Aligned with HDL Engineers); S49 (LLMs for Science: Usage for Code Generation and Data Analysis); S61 (Cracking the Code: Co-coding with AI in Creative Programming Education); S11 (Applying RLAIF for Code Generation with API-usage in Lightweight LLMs); S07 (AI-assisted coding: Experiments with GPT-4)</x:v>
      </x:c>
      <x:c r="F3" s="20" t="str">
        <x:v>Package Hallucinations &amp; Security</x:v>
      </x:c>
      <x:c r="G3" s="20" t="str">
        <x:v>Primarily addresses security risks from hallucinated dependencies, though it slightly mixes in automated grading terms.</x:v>
      </x:c>
      <x:c r="H3" s="20" t="str">
        <x:v>4</x:v>
      </x:c>
      <x:c r="I3" s="20" t="str">
        <x:v>4</x:v>
      </x:c>
      <x:c r="J3" s="20" t="str">
        <x:v>4</x:v>
      </x:c>
      <x:c r="K3" s="20" t="str"/>
      <x:c r="L3" s="20" t="str"/>
      <x:c r="M3" s="20" t="str"/>
      <x:c r="N3" s="20" t="str"/>
    </x:row>
    <x:row r="4">
      <x:c r="A4" s="20" t="str">
        <x:v>A</x:v>
      </x:c>
      <x:c r="B4" s="20" t="str">
        <x:v>2</x:v>
      </x:c>
      <x:c r="C4" s="20" t="str">
        <x:v>class, requirement, completion, api, signal, security, benchmark, attack, speed, reference, domain, project, safety, return, developer, state, classeval, dependency, secure, power</x:v>
      </x:c>
      <x:c r="D4" s="20" t="str">
        <x:v>classeval, safety, skeleton, insecure, speed, void, signal, float, press, completion, secure, flip, flawed, class, channel, bit, attack, requirement, reference, requirements</x:v>
      </x:c>
      <x:c r="E4" s="20" t="str">
        <x:v>S08 (An Empirical Study of the Code Generation of Safety-Critical Software Using LLMs); S32 (Evaluating Large Language Models in Class-Level Code Generation); S26 (De-Hallucinator: Iterative Grounding for LLM-Based Code Completion); S52 (Poisoned ChatGPT Finds Work for Idle Hands: Exploring Developers’ Coding Practices with Insecure Suggestions from Poisoned AI Models); S46 (Hallucinating AI Hijacking Attack: Large Language Models and Malicious Code Recommenders); S57 (User Centric Evaluation of Code Generation Tools); S55 (Toward a New Era of Rapid Development: Assessing GPT-4-Vision’s Capabilities in UML-Based Code Generation); S70 (Towards Mitigating API Hallucination in Code Generated by LLMs with Hierarchical Dependency Aware); S01 (A Pilot Study on Secure Code Generation with ChatGPT for Web Applications); S47 (LLM Hallucinations in Practical Code Generation: Phenomena, Mechanism, and Mitigation)</x:v>
      </x:c>
      <x:c r="F4" s="20" t="str">
        <x:v>Secure Class-Level Generation</x:v>
      </x:c>
      <x:c r="G4" s="20" t="str">
        <x:v>Assesses LLM code generation for safety-critical applications, focusing on class-level evaluation and security.</x:v>
      </x:c>
      <x:c r="H4" s="20" t="str">
        <x:v>4</x:v>
      </x:c>
      <x:c r="I4" s="20" t="str">
        <x:v>4</x:v>
      </x:c>
      <x:c r="J4" s="20" t="str">
        <x:v>5</x:v>
      </x:c>
      <x:c r="K4" s="20" t="str"/>
      <x:c r="L4" s="20" t="str"/>
      <x:c r="M4" s="20" t="str"/>
      <x:c r="N4" s="20" t="str"/>
    </x:row>
    <x:row r="5">
      <x:c r="A5" s="20" t="str">
        <x:v>A</x:v>
      </x:c>
      <x:c r="B5" s="20" t="str">
        <x:v>3</x:v>
      </x:c>
      <x:c r="C5" s="20" t="str">
        <x:v>hallucination, api, requirement, return, benchmark, token, self, project, strategy, framework, humaneval, frequency, iteration, snippet, sample, low, metric, consistency, scenario, logical</x:v>
      </x:c>
      <x:c r="D5" s="20" t="str">
        <x:v>modular, bench, invocation, conflict, module, agent, conflicting, dead, cycle, logical, self, consistency, hallucination, frequency, iteration, identifier, factual, augmentation, rag, edge</x:v>
      </x:c>
      <x:c r="E5" s="20" t="str">
        <x:v>S51 (On Mitigating Code LLM Hallucinations with API Documentation); S23 (CodeHalu: Investigating Code Hallucinations in LLMs via Execution-based Verification); S05 (A Self-Iteration Code Generation Method Based on Large Language Models); S24 (CodeMirage: Hallucinations in Code Generated by Large Language Models); S47 (LLM Hallucinations in Practical Code Generation: Phenomena, Mechanism, and Mitigation); S31 (Enhancing Large Language Models in Coding Through Multi-Perspective Self-Consistency); S36 (Beyond Functional Correctness: Exploring Hallucinations in LLM-Generated Code); S25 (COLLU-BENCH: A BENCHMARK FOR PREDICTING LANGUAGE MODEL HALLUCINATIONS IN CODE); S34 (Experiences and Challenges in AI-Driven Modular Software Development Using Large Language Models for Code Generation); S53 (Test-Driven Development and LLM-based Code Generation)</x:v>
      </x:c>
      <x:c r="F5" s="20" t="str">
        <x:v>Hallucination Mitigation</x:v>
      </x:c>
      <x:c r="G5" s="20" t="str">
        <x:v>Explores the detection, verification, and mitigation of general code hallucinations through self-iteration and consistency.</x:v>
      </x:c>
      <x:c r="H5" s="20" t="str">
        <x:v>5</x:v>
      </x:c>
      <x:c r="I5" s="20" t="str">
        <x:v>5</x:v>
      </x:c>
      <x:c r="J5" s="20" t="str">
        <x:v>5</x:v>
      </x:c>
      <x:c r="K5" s="20" t="str"/>
      <x:c r="L5" s="20" t="str"/>
      <x:c r="M5" s="20" t="str"/>
      <x:c r="N5" s="20" t="str"/>
    </x:row>
    <x:row r="6">
      <x:c r="A6" s="20" t="str">
        <x:v>A</x:v>
      </x:c>
      <x:c r="B6" s="20" t="str">
        <x:v>4</x:v>
      </x:c>
      <x:c r="C6" s="20" t="str">
        <x:v>chatgpt, exercise, topic, developer, project, pass, training, difficulty, testing, file, application, leetcode, usage, google, accuracy, web, api, conversation, chat, fig</x:v>
      </x:c>
      <x:c r="D6" s="20" t="str">
        <x:v>exercise, bing, sentiment, bard, pseudocode, competition, milestone, refactoring, topic, login, proficiency, reaction, refactor, refactore, coverage, clean, brevity, early, pseudo, acceptance</x:v>
      </x:c>
      <x:c r="E6" s="20" t="str">
        <x:v>S63 (Java Web Programming with ChatGPT); S12 (Automated Programming Exercise Generation in the Era of Large Language Models); S56 (Unmasking the giant: A comprehensive evaluation of ChatGPT's proficiency in coding algorithms and data structures); S28 (Digital Rubber Duck: Leveraging Large Language Models for Extreme Programming); S41 (Extending the Frontier of ChatGPT: Code Generation and Debugging); S03 (A Closer Look at Different Difficulty Levels Code Generation Abilities of ChatGPT); S07 (AI-assisted coding: Experiments with GPT-4); S02 (A Two-Stage Code Generation Method using Large Language Models); S59 (Why Do Developers Engage with ChatGPT in Issue-Tracker? Investigating Usage and Reliance on ChatGPT-Generated Code); S49 (LLMs for Science: Usage for Code Generation and Data Analysis)</x:v>
      </x:c>
      <x:c r="F6" s="20" t="str">
        <x:v>General Coding Proficiency</x:v>
      </x:c>
      <x:c r="G6" s="20" t="str">
        <x:v>Evaluates broad problem-solving capabilities, spanning algorithm challenges (LeetCode) and general web programming.</x:v>
      </x:c>
      <x:c r="H6" s="20" t="str">
        <x:v>4</x:v>
      </x:c>
      <x:c r="I6" s="20" t="str">
        <x:v>4</x:v>
      </x:c>
      <x:c r="J6" s="20" t="str">
        <x:v>2</x:v>
      </x:c>
      <x:c r="K6" s="20" t="str"/>
      <x:c r="L6" s="20" t="str"/>
      <x:c r="M6" s="20" t="str"/>
      <x:c r="N6" s="20" t="str"/>
    </x:row>
    <x:row r="7">
      <x:c r="A7" s="20" t="str">
        <x:v>A</x:v>
      </x:c>
      <x:c r="B7" s="20" t="str">
        <x:v>5</x:v>
      </x:c>
      <x:c r="C7" s="20" t="str">
        <x:v>student, chatgpt, course, feedback, assignment, explanation, group, education, learning, class, project, score, grade, attempt, fix, experience, educational, instructor, pattern, diagram</x:v>
      </x:c>
      <x:c r="D7" s="20" t="str">
        <x:v>student, assignment, lecture, teacher, uml, course, education, educational, learner, tutor, hint, diagram, inefficient, instructor, explanation, college, grade, teaching, maintenance, exam</x:v>
      </x:c>
      <x:c r="E7" s="20" t="str">
        <x:v>S60 (Would ChatGPT-facilitated programming mode impact college students’ programming behaviors, performances, and perceptions? An empirical study); S16 (Bridging the Theory-Practice Gap in a Maintenance Programming Course: An Experience Report); S35 (Explaining Code Examples in Introductory Programming Courses: LLM vs Humans); S15 (Beyond Functional Correctness: An Exploratory Study on the Time Efficiency of Programming Assignments); S06 (AI chatbots in programming education: guiding success or encouraging plagiarism); S54 (The Future of Grading Programming Assignments in Education: The Role of ChatGPT in Automating the Assessment and Feedback Process); S29 (Does ChatGPT Help With Introductory Programming? An Experiment of Students Using ChatGPT in CS1); S40 (Exploring the Potential of Large Language Models to Generate Formative Programming Feedback); S13 (Automating Human Tutor-Style Programming Feedback: Leveraging GPT-4 Tutor Model for Hint Generation and GPT-3.5 Student Model for Hint Validation); S55 (Toward a New Era of Rapid Development: Assessing GPT-4-Vision’s Capabilities in UML-Based Code Generation)</x:v>
      </x:c>
      <x:c r="F7" s="20" t="str">
        <x:v>Computing Education &amp; Learning</x:v>
      </x:c>
      <x:c r="G7" s="20" t="str">
        <x:v>Examines LLMs in CS education, covering automated grading, assignment feedback, and impact on student learning.</x:v>
      </x:c>
      <x:c r="H7" s="20" t="str">
        <x:v>5</x:v>
      </x:c>
      <x:c r="I7" s="20" t="str">
        <x:v>5</x:v>
      </x:c>
      <x:c r="J7" s="20" t="str">
        <x:v>5</x:v>
      </x:c>
      <x:c r="K7" s="20" t="str"/>
      <x:c r="L7" s="20" t="str"/>
      <x:c r="M7" s="20" t="str"/>
      <x:c r="N7" s="20" t="str"/>
    </x:row>
    <x:row r="8">
      <x:c r="A8" s="20" t="str">
        <x:v>A</x:v>
      </x:c>
      <x:c r="B8" s="20" t="str">
        <x:v>6</x:v>
      </x:c>
      <x:c r="C8" s="20" t="str">
        <x:v>chatgpt, snippet, value, complexity, vulnerability, non, scenario, round, fix, vulnerable, rate, similarity, java, determinism, algorithm, conversation, request, fig, low, javascript</x:v>
      </x:c>
      <x:c r="D8" s="20" t="str">
        <x:v>determinism, round, cwe, fixing, vulnerable, cyclomatic, apps, complexity, max, vulnerability, medium, heap, similarity, moderate, variance, snippet, pointer, buffer, ratio, measurement</x:v>
      </x:c>
      <x:c r="E8" s="20" t="str">
        <x:v>S50 (No Need to Lift a Finger Anymore? Assessing the Quality of Code Generation by ChatGPT); S09 (An Empirical Study of the Non-determinism of ChatGPT in Code Generation); S01 (A Pilot Study on Secure Code Generation with ChatGPT for Web Applications); S38 (Exploring the Verifiability of Code Generated by GitHub Copilot); S43 (Fight Fire with Fire: How Much Can We Trust ChatGPT on Source Code-Related Tasks?); S18 (Can ChatGPT Support Developers? An Empirical Evaluation of Large Language Models for Code Generation); S44 (Gauging Tech Community Acceptance of Rapid Prototyping in Unfamiliar Programming Languages using LLM Chatbots); S22 (Code Hallucination); S03 (A Closer Look at Different Difficulty Levels Code Generation Abilities of ChatGPT); S41 (Extending the Frontier of ChatGPT: Code Generation and Debugging)</x:v>
      </x:c>
      <x:c r="F8" s="20" t="str">
        <x:v>Code Complexity &amp; Determinism</x:v>
      </x:c>
      <x:c r="G8" s="20" t="str">
        <x:v>Focuses on objective measurements of code quality, including cyclomatic complexity, determinism, and software vulnerabilities.</x:v>
      </x:c>
      <x:c r="H8" s="20" t="str">
        <x:v>5</x:v>
      </x:c>
      <x:c r="I8" s="20" t="str">
        <x:v>5</x:v>
      </x:c>
      <x:c r="J8" s="20" t="str">
        <x:v>4</x:v>
      </x:c>
      <x:c r="K8" s="20" t="str"/>
      <x:c r="L8" s="20" t="str"/>
      <x:c r="M8" s="20" t="str"/>
      <x:c r="N8" s="20" t="str"/>
    </x:row>
    <x:row r="9">
      <x:c r="A9" s="20" t="str">
        <x:v>A</x:v>
      </x:c>
      <x:c r="B9" s="20" t="str">
        <x:v>7</x:v>
      </x:c>
      <x:c r="C9" s="20" t="str">
        <x:v>bug, pattern, participant, assistant, suggestion, buggy, sample, label, category, report, survey, technical, fix, cop, codex, accuracy, respondent, platform, taxonomy, open</x:v>
      </x:c>
      <x:c r="D9" s="20" t="str">
        <x:v>bug, cop, respondent, corner, codereval, technical, mobile, buggy, missing, label, pattern, raw, page, reviewer, taxonomy, misinterpretation, practitioner, oracle, survey, biased</x:v>
      </x:c>
      <x:c r="E9" s="20" t="str">
        <x:v>S17 (Bugs in Large Language Models Generated Code: An Empirical Study); S48 (LLM-Based Test-Driven Interactive Code Generation User Study and Empirical Evaluation); S21 (Code Generation with AlphaCodium: From Prompt Engineering to Flow); S19 (Case study: using AI-assisted code generation in mobile teams); S20 (Chain-of-Programming (CoP): Empowering Large Language Models for Geospatial Code Generation); S71 (Code Generation Using LLMs); S13 (Automating Human Tutor-Style Programming Feedback: Leveraging GPT-4 Tutor Model for Hint Generation and GPT-3.5 Student Model for Hint Validation); S40 (Exploring the Potential of Large Language Models to Generate Formative Programming Feedback); S33 (Expectation vs. Experience: Evaluating the Usability of Code Generation Tools Powered by Large Language Models); S27 (Developer Experiences with a Contextualized AI Coding Assistant: Usability, Expectations, and Outcomes)</x:v>
      </x:c>
      <x:c r="F9" s="20" t="str">
        <x:v>Bug Taxonomies &amp; Interactive Fixing</x:v>
      </x:c>
      <x:c r="G9" s="20" t="str">
        <x:v>Explores empirical bug classifications and how developers use interactive or test-driven prompting to fix errors.</x:v>
      </x:c>
      <x:c r="H9" s="20" t="str">
        <x:v>4</x:v>
      </x:c>
      <x:c r="I9" s="20" t="str">
        <x:v>4</x:v>
      </x:c>
      <x:c r="J9" s="20" t="str">
        <x:v>4</x:v>
      </x:c>
      <x:c r="K9" s="20" t="str"/>
      <x:c r="L9" s="20" t="str"/>
      <x:c r="M9" s="20" t="str"/>
      <x:c r="N9" s="20"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2" hidden="0" customWidth="1"/>
    <x:col min="3" max="3" width="48" hidden="0" customWidth="1"/>
    <x:col min="4" max="4" width="48" hidden="0" customWidth="1"/>
    <x:col min="5" max="5" width="48" hidden="0" customWidth="1"/>
    <x:col min="6" max="6" width="34" hidden="0" customWidth="1"/>
    <x:col min="7" max="7" width="34" hidden="0" customWidth="1"/>
    <x:col min="8" max="8" width="14" hidden="0" customWidth="1"/>
    <x:col min="9" max="9" width="14" hidden="0" customWidth="1"/>
    <x:col min="10" max="10" width="14" hidden="0" customWidth="1"/>
    <x:col min="11" max="11" width="18" hidden="0" customWidth="1"/>
    <x:col min="12" max="12" width="18" hidden="0" customWidth="1"/>
    <x:col min="13" max="13" width="18" hidden="0" customWidth="1"/>
    <x:col min="14" max="14" width="18" hidden="0" customWidth="1"/>
  </x:cols>
  <x:sheetData>
    <x:row r="1">
      <x:c r="A1" s="76" t="str">
        <x:v>blinded_model</x:v>
      </x:c>
      <x:c r="B1" s="76" t="str">
        <x:v>topic_id</x:v>
      </x:c>
      <x:c r="C1" s="76" t="str">
        <x:v>top_20_probability_terms</x:v>
      </x:c>
      <x:c r="D1" s="76" t="str">
        <x:v>top_20_frex_terms</x:v>
      </x:c>
      <x:c r="E1" s="76" t="str">
        <x:v>top_loading_studies</x:v>
      </x:c>
      <x:c r="F1" s="76" t="str">
        <x:v>proposed_label</x:v>
      </x:c>
      <x:c r="G1" s="76" t="str">
        <x:v>short_description</x:v>
      </x:c>
      <x:c r="H1" s="76" t="str">
        <x:v>coherence_1_5</x:v>
      </x:c>
      <x:c r="I1" s="76" t="str">
        <x:v>interpretability_1_5</x:v>
      </x:c>
      <x:c r="J1" s="76" t="str">
        <x:v>distinctiveness_1_5</x:v>
      </x:c>
      <x:c r="K1" s="76" t="str">
        <x:v>topic_validity_flag</x:v>
      </x:c>
      <x:c r="L1" s="76" t="str">
        <x:v>word_intrusion_correct</x:v>
      </x:c>
      <x:c r="M1" s="76" t="str">
        <x:v>document_intrusion_correct</x:v>
      </x:c>
      <x:c r="N1" s="76" t="str">
        <x:v>notes</x:v>
      </x:c>
    </x:row>
    <x:row r="2">
      <x:c r="A2" s="20" t="str">
        <x:v>A</x:v>
      </x:c>
      <x:c r="B2" s="20" t="str">
        <x:v>0</x:v>
      </x:c>
      <x:c r="C2" s="20" t="str">
        <x:v>participant, copilot, developer, suggestion, experience, community, trust, interaction, online, programmer, share, mode, discussion, github, comment, ask, want, power, chatgpt, say</x:v>
      </x:c>
      <x:c r="D2" s="20" t="str">
        <x:v>trust, community, copilot, acceleration, artifact, dialogue, say, video, participant, sharing, helpful, company, feel, thing, online, experience, lot, think, familiar, expectation</x:v>
      </x:c>
      <x:c r="E2" s="20" t="str">
        <x:v>S62 (“It would work for me too”: How Online Communities Shape Software Developers’ Trust in AI-Powered Code Generation Tools); S45 (Grounded Copilot: How Programmers Interact with Code-Generating Models); S14 (Beyond Code Generation: An Observational Study of ChatGPT Usage in Software Engineering Practice); S33 (Expectation vs. Experience: Evaluating the Usability of Code Generation Tools Powered by Large Language Models); S27 (Developer Experiences with a Contextualized AI Coding Assistant: Usability, Expectations, and Outcomes); S39 (Exploring Early Adopters’ Perceptions of ChatGPT as a Code Generation Tool); S61 (Cracking the Code: Co-coding with AI in Creative Programming Education); S52 (Poisoned ChatGPT Finds Work for Idle Hands: Exploring Developers’ Coding Practices with Insecure Suggestions from Poisoned AI Models); S44 (Gauging Tech Community Acceptance of Rapid Prototyping in Unfamiliar Programming Languages using LLM Chatbots); S19 (Case study: using AI-assisted code generation in mobile teams)</x:v>
      </x:c>
      <x:c r="F2" s="20" t="str">
        <x:v>Developer Community Trust &amp; Experience with AI Coding Assistants</x:v>
      </x:c>
      <x:c r="G2" s="20" t="str">
        <x:v>Discussion- and community-driven studies of developer trust, expectations, and lived experience using Copilot/ChatGPT for coding, often drawing on online forums and interviews.</x:v>
      </x:c>
      <x:c r="H2" s="20" t="str">
        <x:v>4</x:v>
      </x:c>
      <x:c r="I2" s="20" t="str">
        <x:v>4</x:v>
      </x:c>
      <x:c r="J2" s="20" t="str">
        <x:v>3</x:v>
      </x:c>
      <x:c r="K2" s="20" t="str">
        <x:v>Valid</x:v>
      </x:c>
      <x:c r="L2" s="20" t="str"/>
      <x:c r="M2" s="20" t="str"/>
      <x:c r="N2" s="20" t="str">
        <x:v>Clear trust/community/experience theme, but overlaps somewhat with Topic 7 (practitioner survey) and Topic 4 (developer usage).</x:v>
      </x:c>
    </x:row>
    <x:row r="3">
      <x:c r="A3" s="20" t="str">
        <x:v>A</x:v>
      </x:c>
      <x:c r="B3" s="20" t="str">
        <x:v>1</x:v>
      </x:c>
      <x:c r="C3" s="20" t="str">
        <x:v>package, hallucination, rate, grader, javascript, repository, malicious, hallucinate, open, sample, parameter, rubric, instruction, name, attack, reduce, low, size, creative, deepseek</x:v>
      </x:c>
      <x:c r="D3" s="20" t="str">
        <x:v>grader, package, rubric, malicious, npm, deepseek, actor, grading, hallucinate, rust, interpretation, pypi, parallel, compromise, chain, confusion, codellama, register, symbolic, exploit</x:v>
      </x:c>
      <x:c r="E3" s="20" t="str">
        <x:v>S58 (We Have a Package for You! A Comprehensive Analysis of Package Hallucinations by Code Generating LLMs); S66 (Importing Phantoms: Measuring LLM Package Hallucination Vulnerabilities); S46 (Hallucinating AI Hijacking Attack: Large Language Models and Malicious Code Recommenders); S64 (Pair programming with ChatGPT for sampling and estimation of copulas); S10 (Applying Large Language Models to Enhance the Assessment of Parallel Functional Programming Assignments); S65 (HAVEN: Hallucination-Mitigated LLM for Verilog Code Generation Aligned with HDL Engineers); S49 (LLMs for Science: Usage for Code Generation and Data Analysis); S61 (Cracking the Code: Co-coding with AI in Creative Programming Education); S11 (Applying RLAIF for Code Generation with API-usage in Lightweight LLMs); S07 (AI-assisted coding: Experiments with GPT-4)</x:v>
      </x:c>
      <x:c r="F3" s="20" t="str">
        <x:v>Package Hallucination &amp; Supply-Chain/Malicious Code Risks</x:v>
      </x:c>
      <x:c r="G3" s="20" t="str">
        <x:v>Studies on LLMs hallucinating non-existent or malicious software packages (npm/PyPI), including attack/exploitation vectors from package hallucination.</x:v>
      </x:c>
      <x:c r="H3" s="20" t="str">
        <x:v>4</x:v>
      </x:c>
      <x:c r="I3" s="20" t="str">
        <x:v>4</x:v>
      </x:c>
      <x:c r="J3" s="20" t="str">
        <x:v>5</x:v>
      </x:c>
      <x:c r="K3" s="20" t="str">
        <x:v>Borderline</x:v>
      </x:c>
      <x:c r="L3" s="20" t="str"/>
      <x:c r="M3" s="20" t="str"/>
      <x:c r="N3" s="20" t="str">
        <x:v>Top terms are highly specific and distinctive (package, npm, pypi, malicious, deepseek), giving strong interpretability and no overlap with other topics. However, several of the top-loading studies (S64, S10, S49, S61, S07) do not obviously concern package hallucination, suggesting some document-level noise despite a clean term profile.</x:v>
      </x:c>
    </x:row>
    <x:row r="4">
      <x:c r="A4" s="20" t="str">
        <x:v>A</x:v>
      </x:c>
      <x:c r="B4" s="20" t="str">
        <x:v>2</x:v>
      </x:c>
      <x:c r="C4" s="20" t="str">
        <x:v>class, requirement, completion, api, signal, security, benchmark, attack, speed, reference, domain, project, safety, return, developer, state, classeval, dependency, secure, power</x:v>
      </x:c>
      <x:c r="D4" s="20" t="str">
        <x:v>classeval, safety, skeleton, insecure, speed, void, signal, float, press, completion, secure, flip, flawed, class, channel, bit, attack, requirement, reference, requirements</x:v>
      </x:c>
      <x:c r="E4" s="20" t="str">
        <x:v>S08 (An Empirical Study of the Code Generation of Safety-Critical Software Using LLMs); S32 (Evaluating Large Language Models in Class-Level Code Generation); S26 (De-Hallucinator: Iterative Grounding for LLM-Based Code Completion); S52 (Poisoned ChatGPT Finds Work for Idle Hands: Exploring Developers’ Coding Practices with Insecure Suggestions from Poisoned AI Models); S46 (Hallucinating AI Hijacking Attack: Large Language Models and Malicious Code Recommenders); S57 (User Centric Evaluation of Code Generation Tools); S55 (Toward a New Era of Rapid Development: Assessing GPT-4-Vision’s Capabilities in UML-Based Code Generation); S70 (Towards Mitigating API Hallucination in Code Generated by LLMs with Hierarchical Dependency Aware); S01 (A Pilot Study on Secure Code Generation with ChatGPT for Web Applications); S47 (LLM Hallucinations in Practical Code Generation: Phenomena, Mechanism, and Mitigation)</x:v>
      </x:c>
      <x:c r="F4" s="20" t="str">
        <x:v>Code Security, Safety-Critical &amp; Class-Level Completion Benchmarks</x:v>
      </x:c>
      <x:c r="G4" s="20" t="str">
        <x:v>Evaluation of security vulnerabilities (insecure/malicious suggestions) alongside class-level and completion-based code generation benchmarks (e.g., ClassEval) in safety-critical contexts.</x:v>
      </x:c>
      <x:c r="H4" s="20" t="str">
        <x:v>3</x:v>
      </x:c>
      <x:c r="I4" s="20" t="str">
        <x:v>3</x:v>
      </x:c>
      <x:c r="J4" s="20" t="str">
        <x:v>3</x:v>
      </x:c>
      <x:c r="K4" s="20" t="str">
        <x:v>Borderline</x:v>
      </x:c>
      <x:c r="L4" s="20" t="str"/>
      <x:c r="M4" s="20" t="str"/>
      <x:c r="N4" s="20" t="str">
        <x:v>Appears to merge two related but separable sub-themes: (a) security/safety vulnerability and (b) class-/API-level completion benchmarking. Overlaps with Topic 6 (vulnerability/quality metrics) and Topic 3 (API hallucination mitigation).</x:v>
      </x:c>
    </x:row>
    <x:row r="5">
      <x:c r="A5" s="20" t="str">
        <x:v>A</x:v>
      </x:c>
      <x:c r="B5" s="20" t="str">
        <x:v>3</x:v>
      </x:c>
      <x:c r="C5" s="20" t="str">
        <x:v>hallucination, api, requirement, return, benchmark, token, self, project, strategy, framework, humaneval, frequency, iteration, snippet, sample, low, metric, consistency, scenario, logical</x:v>
      </x:c>
      <x:c r="D5" s="20" t="str">
        <x:v>modular, bench, invocation, conflict, module, agent, conflicting, dead, cycle, logical, self, consistency, hallucination, frequency, iteration, identifier, factual, augmentation, rag, edge</x:v>
      </x:c>
      <x:c r="E5" s="20" t="str">
        <x:v>S51 (On Mitigating Code LLM Hallucinations with API Documentation); S23 (CodeHalu: Investigating Code Hallucinations in LLMs via Execution-based Verification); S05 (A Self-Iteration Code Generation Method Based on Large Language Models); S24 (CodeMirage: Hallucinations in Code Generated by Large Language Models); S47 (LLM Hallucinations in Practical Code Generation: Phenomena, Mechanism, and Mitigation); S31 (Enhancing Large Language Models in Coding Through Multi-Perspective Self-Consistency); S36 (Beyond Functional Correctness: Exploring Hallucinations in LLM-Generated Code); S25 (COLLU-BENCH: A BENCHMARK FOR PREDICTING LANGUAGE MODEL HALLUCINATIONS IN CODE); S34 (Experiences and Challenges in AI-Driven Modular Software Development Using Large Language Models for Code Generation); S53 (Test-Driven Development and LLM-based Code Generation)</x:v>
      </x:c>
      <x:c r="F5" s="20" t="str">
        <x:v>Hallucination Detection &amp; Mitigation Methods (Benchmarks, Self-Consistency, RAG)</x:v>
      </x:c>
      <x:c r="G5" s="20" t="str">
        <x:v>Methodological studies benchmarking and mitigating code hallucinations via techniques such as self-consistency, iterative refinement, and retrieval augmentation.</x:v>
      </x:c>
      <x:c r="H5" s="20" t="str">
        <x:v>4</x:v>
      </x:c>
      <x:c r="I5" s="20" t="str">
        <x:v>3</x:v>
      </x:c>
      <x:c r="J5" s="20" t="str">
        <x:v>4</x:v>
      </x:c>
      <x:c r="K5" s="20" t="str">
        <x:v>Valid</x:v>
      </x:c>
      <x:c r="L5" s="20" t="str"/>
      <x:c r="M5" s="20" t="str"/>
      <x:c r="N5" s="20" t="str">
        <x:v>Terms are technical (token, frequency, iteration, humaneval) but consistently point to hallucination benchmarking/mitigation methodology; reasonably distinct from Topic 1's package-specific hallucination focus.</x:v>
      </x:c>
    </x:row>
    <x:row r="6">
      <x:c r="A6" s="20" t="str">
        <x:v>A</x:v>
      </x:c>
      <x:c r="B6" s="20" t="str">
        <x:v>4</x:v>
      </x:c>
      <x:c r="C6" s="20" t="str">
        <x:v>chatgpt, exercise, topic, developer, project, pass, training, difficulty, testing, file, application, leetcode, usage, google, accuracy, web, api, conversation, chat, fig</x:v>
      </x:c>
      <x:c r="D6" s="20" t="str">
        <x:v>exercise, bing, sentiment, bard, pseudocode, competition, milestone, refactoring, topic, login, proficiency, reaction, refactor, refactore, coverage, clean, brevity, early, pseudo, acceptance</x:v>
      </x:c>
      <x:c r="E6" s="20" t="str">
        <x:v>S63 (Java Web Programming with ChatGPT); S12 (Automated Programming Exercise Generation in the Era of Large Language Models); S56 (Unmasking the giant: A comprehensive evaluation of ChatGPT's proficiency in coding algorithms and data structures); S28 (Digital Rubber Duck: Leveraging Large Language Models for Extreme Programming); S41 (Extending the Frontier of ChatGPT: Code Generation and Debugging); S03 (A Closer Look at Different Difficulty Levels Code Generation Abilities of ChatGPT); S07 (AI-assisted coding: Experiments with GPT-4); S02 (A Two-Stage Code Generation Method using Large Language Models); S59 (Why Do Developers Engage with ChatGPT in Issue-Tracker? Investigating Usage and Reliance on ChatGPT-Generated Code); S49 (LLMs for Science: Usage for Code Generation and Data Analysis)</x:v>
      </x:c>
      <x:c r="F6" s="20" t="str">
        <x:v>LLM Proficiency on Coding Exercises &amp; Competitive-Programming Benchmarks</x:v>
      </x:c>
      <x:c r="G6" s="20" t="str">
        <x:v>Comparative evaluations of ChatGPT/Bing/Bard proficiency on programming exercises, competitive-programming problems (e.g., LeetCode), and general coding tasks.</x:v>
      </x:c>
      <x:c r="H6" s="20" t="str">
        <x:v>3</x:v>
      </x:c>
      <x:c r="I6" s="20" t="str">
        <x:v>3</x:v>
      </x:c>
      <x:c r="J6" s="20" t="str">
        <x:v>3</x:v>
      </x:c>
      <x:c r="K6" s="20" t="str">
        <x:v>Borderline</x:v>
      </x:c>
      <x:c r="L6" s="20" t="str"/>
      <x:c r="M6" s="20" t="str"/>
      <x:c r="N6" s="20" t="str">
        <x:v>Somewhat heterogeneous, spanning exercise generation, chatbot proficiency comparisons, and developer usage studies; overlaps with Topic 5 (education/exercises) and Topic 6 (quality evaluation).</x:v>
      </x:c>
    </x:row>
    <x:row r="7">
      <x:c r="A7" s="20" t="str">
        <x:v>A</x:v>
      </x:c>
      <x:c r="B7" s="20" t="str">
        <x:v>5</x:v>
      </x:c>
      <x:c r="C7" s="20" t="str">
        <x:v>student, chatgpt, course, feedback, assignment, explanation, group, education, learning, class, project, score, grade, attempt, fix, experience, educational, instructor, pattern, diagram</x:v>
      </x:c>
      <x:c r="D7" s="20" t="str">
        <x:v>student, assignment, lecture, teacher, uml, course, education, educational, learner, tutor, hint, diagram, inefficient, instructor, explanation, college, grade, teaching, maintenance, exam</x:v>
      </x:c>
      <x:c r="E7" s="20" t="str">
        <x:v>S60 (Would ChatGPT-facilitated programming mode impact college students’ programming behaviors, performances, and perceptions? An empirical study); S16 (Bridging the Theory-Practice Gap in a Maintenance Programming Course: An Experience Report); S35 (Explaining Code Examples in Introductory Programming Courses: LLM vs Humans); S15 (Beyond Functional Correctness: An Exploratory Study on the Time Efficiency of Programming Assignments); S06 (AI chatbots in programming education: guiding success or encouraging plagiarism); S54 (The Future of Grading Programming Assignments in Education: The Role of ChatGPT in Automating the Assessment and Feedback Process); S29 (Does ChatGPT Help With Introductory Programming? An Experiment of Students Using ChatGPT in CS1); S40 (Exploring the Potential of Large Language Models to Generate Formative Programming Feedback); S13 (Automating Human Tutor-Style Programming Feedback: Leveraging GPT-4 Tutor Model for Hint Generation and GPT-3.5 Student Model for Hint Validation); S55 (Toward a New Era of Rapid Development: Assessing GPT-4-Vision’s Capabilities in UML-Based Code Generation)</x:v>
      </x:c>
      <x:c r="F7" s="20" t="str">
        <x:v>Programming Education: Student Learning, Feedback &amp; Assessment</x:v>
      </x:c>
      <x:c r="G7" s="20" t="str">
        <x:v>Studies on student use of ChatGPT in programming courses, including feedback generation, grading, tutoring, and classroom learning outcomes.</x:v>
      </x:c>
      <x:c r="H7" s="20" t="str">
        <x:v>5</x:v>
      </x:c>
      <x:c r="I7" s="20" t="str">
        <x:v>5</x:v>
      </x:c>
      <x:c r="J7" s="20" t="str">
        <x:v>4</x:v>
      </x:c>
      <x:c r="K7" s="20" t="str">
        <x:v>Valid</x:v>
      </x:c>
      <x:c r="L7" s="20" t="str"/>
      <x:c r="M7" s="20" t="str"/>
      <x:c r="N7" s="20" t="str">
        <x:v>Clean, well-defined education topic; one of the clearest in the solution.</x:v>
      </x:c>
    </x:row>
    <x:row r="8">
      <x:c r="A8" s="20" t="str">
        <x:v>A</x:v>
      </x:c>
      <x:c r="B8" s="20" t="str">
        <x:v>6</x:v>
      </x:c>
      <x:c r="C8" s="20" t="str">
        <x:v>chatgpt, snippet, value, complexity, vulnerability, non, scenario, round, fix, vulnerable, rate, similarity, java, determinism, algorithm, conversation, request, fig, low, javascript</x:v>
      </x:c>
      <x:c r="D8" s="20" t="str">
        <x:v>determinism, round, cwe, fixing, vulnerable, cyclomatic, apps, complexity, max, vulnerability, medium, heap, similarity, moderate, variance, snippet, pointer, buffer, ratio, measurement</x:v>
      </x:c>
      <x:c r="E8" s="20" t="str">
        <x:v>S50 (No Need to Lift a Finger Anymore? Assessing the Quality of Code Generation by ChatGPT); S09 (An Empirical Study of the Non-determinism of ChatGPT in Code Generation); S01 (A Pilot Study on Secure Code Generation with ChatGPT for Web Applications); S38 (Exploring the Verifiability of Code Generated by GitHub Copilot); S43 (Fight Fire with Fire: How Much Can We Trust ChatGPT on Source Code-Related Tasks?); S18 (Can ChatGPT Support Developers? An Empirical Evaluation of Large Language Models for Code Generation); S44 (Gauging Tech Community Acceptance of Rapid Prototyping in Unfamiliar Programming Languages using LLM Chatbots); S22 (Code Hallucination); S03 (A Closer Look at Different Difficulty Levels Code Generation Abilities of ChatGPT); S41 (Extending the Frontier of ChatGPT: Code Generation and Debugging)</x:v>
      </x:c>
      <x:c r="F8" s="20" t="str">
        <x:v>Code Quality Metrics: Vulnerability (CWE), Complexity &amp; Non-Determinism</x:v>
      </x:c>
      <x:c r="G8" s="20" t="str">
        <x:v>Empirical evaluation of generated-code quality using metrics such as vulnerability classification (CWE), cyclomatic complexity, similarity, and output non-determinism across repeated generations.</x:v>
      </x:c>
      <x:c r="H8" s="20" t="str">
        <x:v>3</x:v>
      </x:c>
      <x:c r="I8" s="20" t="str">
        <x:v>3</x:v>
      </x:c>
      <x:c r="J8" s="20" t="str">
        <x:v>3</x:v>
      </x:c>
      <x:c r="K8" s="20" t="str">
        <x:v>Borderline</x:v>
      </x:c>
      <x:c r="L8" s="20" t="str"/>
      <x:c r="M8" s="20" t="str"/>
      <x:c r="N8" s="20" t="str">
        <x:v>Shares vulnerability/security vocabulary with Topic 2 and reliability/testing themes with Topic 3; reads as a metrics-focused variant of overlapping quality/security concerns.</x:v>
      </x:c>
    </x:row>
    <x:row r="9">
      <x:c r="A9" s="20" t="str">
        <x:v>A</x:v>
      </x:c>
      <x:c r="B9" s="20" t="str">
        <x:v>7</x:v>
      </x:c>
      <x:c r="C9" s="20" t="str">
        <x:v>bug, pattern, participant, assistant, suggestion, buggy, sample, label, category, report, survey, technical, fix, cop, codex, accuracy, respondent, platform, taxonomy, open</x:v>
      </x:c>
      <x:c r="D9" s="20" t="str">
        <x:v>bug, cop, respondent, corner, codereval, technical, mobile, buggy, missing, label, pattern, raw, page, reviewer, taxonomy, misinterpretation, practitioner, oracle, survey, biased</x:v>
      </x:c>
      <x:c r="E9" s="20" t="str">
        <x:v>S17 (Bugs in Large Language Models Generated Code: An Empirical Study); S48 (LLM-Based Test-Driven Interactive Code Generation User Study and Empirical Evaluation); S21 (Code Generation with AlphaCodium: From Prompt Engineering to Flow); S19 (Case study: using AI-assisted code generation in mobile teams); S20 (Chain-of-Programming (CoP): Empowering Large Language Models for Geospatial Code Generation); S71 (Code Generation Using LLMs); S13 (Automating Human Tutor-Style Programming Feedback: Leveraging GPT-4 Tutor Model for Hint Generation and GPT-3.5 Student Model for Hint Validation); S40 (Exploring the Potential of Large Language Models to Generate Formative Programming Feedback); S33 (Expectation vs. Experience: Evaluating the Usability of Code Generation Tools Powered by Large Language Models); S27 (Developer Experiences with a Contextualized AI Coding Assistant: Usability, Expectations, and Outcomes)</x:v>
      </x:c>
      <x:c r="F9" s="20" t="str">
        <x:v>Bug Taxonomy &amp; Practitioner Survey of Code Defects/Patterns</x:v>
      </x:c>
      <x:c r="G9" s="20" t="str">
        <x:v>Studies cataloguing bug patterns/taxonomies in LLM-generated code and surveying practitioner or participant perceptions of code-assistant suggestions and defects.</x:v>
      </x:c>
      <x:c r="H9" s="20" t="str">
        <x:v>3</x:v>
      </x:c>
      <x:c r="I9" s="20" t="str">
        <x:v>3</x:v>
      </x:c>
      <x:c r="J9" s="20" t="str">
        <x:v>3</x:v>
      </x:c>
      <x:c r="K9" s="20" t="str">
        <x:v>Borderline</x:v>
      </x:c>
      <x:c r="L9" s="20" t="str"/>
      <x:c r="M9" s="20" t="str"/>
      <x:c r="N9" s="20" t="str">
        <x:v>Mixes technical code-generation-method papers (AlphaCodium, Chain-of-Programming) with survey/feedback-oriented studies; overlaps with Topic 0 (developer experience) and Topic 6 (quality/bugs).</x:v>
      </x:c>
    </x:row>
  </x:sheetData>
  <x:pageMargins left="0.7" right="0.7" top="0.75" bottom="0.75" header="0.3" footer="0.3"/>
</x:worksheet>
</file>